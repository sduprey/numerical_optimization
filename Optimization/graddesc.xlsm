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heet1" sheetId="1" r:id="rId5"/>
    <sheet state="visible" name="data" sheetId="2" r:id="rId6"/>
    <sheet state="visible" name="basic" sheetId="3" r:id="rId7"/>
    <sheet state="visible" name="momentum" sheetId="4" r:id="rId8"/>
    <sheet state="visible" name="rmsprop" sheetId="5" r:id="rId9"/>
    <sheet state="visible" name="adam" sheetId="6" r:id="rId10"/>
    <sheet state="visible" name="adam_ann" sheetId="7" r:id="rId11"/>
  </sheets>
  <definedNames>
    <definedName localSheetId="3" name="gradtarget">momentum!#REF!</definedName>
    <definedName localSheetId="3" name="ms_last">momentum!#REF!</definedName>
    <definedName localSheetId="4" name="pct_clipped">rmsprop!#REF!</definedName>
    <definedName localSheetId="5" name="max_clipped">adam!$O$34</definedName>
    <definedName localSheetId="6" name="ms_last">adam_ann!$L$32:$M$32</definedName>
    <definedName localSheetId="5" name="lr">adam!$D$2</definedName>
    <definedName localSheetId="4" name="slope">rmsprop!$C$2</definedName>
    <definedName localSheetId="6" name="prev_grad2">adam_ann!$N$3</definedName>
    <definedName localSheetId="6" name="momtarget">adam_ann!$J$33:$K$33</definedName>
    <definedName localSheetId="6" name="momlast">adam_ann!$J$32:$K$32</definedName>
    <definedName localSheetId="5" name="slope">adam!$C$2</definedName>
    <definedName localSheetId="6" name="avg_grad2">adam_ann!$N$33</definedName>
    <definedName localSheetId="6" name="histgrad">adam_ann!$F$33:$G$33</definedName>
    <definedName localSheetId="6" name="pct_clipped">adam_ann!$O$33</definedName>
    <definedName localSheetId="3" name="momtarget">momentum!$J$33:$K$33</definedName>
    <definedName localSheetId="2" name="const">basic!$C$1</definedName>
    <definedName localSheetId="6" name="gradrat">adam_ann!$N$34</definedName>
    <definedName localSheetId="4" name="ms_last">rmsprop!$J$32:$K$32</definedName>
    <definedName localSheetId="4" name="histgrad">rmsprop!$F$33:$G$33</definedName>
    <definedName localSheetId="3" name="histgrad">momentum!$F$33:$G$33</definedName>
    <definedName localSheetId="3" name="lastslope">momentum!$D$32</definedName>
    <definedName localSheetId="5" name="momtarget">adam!$J$33:$K$33</definedName>
    <definedName localSheetId="6" name="gradtarget">adam_ann!$L$33:$M$33</definedName>
    <definedName localSheetId="6" name="lr">adam_ann!$D$2</definedName>
    <definedName localSheetId="2" name="rmsestart">basic!$C$36</definedName>
    <definedName localSheetId="4" name="max_clipped">rmsprop!$K$34</definedName>
    <definedName localSheetId="5" name="momlast">adam!$J$32:$K$32</definedName>
    <definedName localSheetId="3" name="lastconst">momentum!$C$32</definedName>
    <definedName localSheetId="6" name="lastslope">adam_ann!$D$32</definedName>
    <definedName localSheetId="2" name="gradtarget">basic!$K$1:$L$1</definedName>
    <definedName localSheetId="6" name="const">adam_ann!$C$1</definedName>
    <definedName localSheetId="2" name="lastslope">basic!$D$32</definedName>
    <definedName localSheetId="2" name="rmse">basic!$F$33</definedName>
    <definedName localSheetId="5" name="lastconst">adam!$C$32</definedName>
    <definedName localSheetId="3" name="const">momentum!$C$1</definedName>
    <definedName localSheetId="3" name="slope">momentum!$C$2</definedName>
    <definedName localSheetId="5" name="gradtarget">adam!$L$33:$M$33</definedName>
    <definedName localSheetId="5" name="ms_last">adam!$L$32:$M$32</definedName>
    <definedName localSheetId="4" name="const">rmsprop!$C$1</definedName>
    <definedName localSheetId="5" name="lastslope">adam!$D$32</definedName>
    <definedName localSheetId="3" name="lr">momentum!$D$2</definedName>
    <definedName localSheetId="4" name="lastslope">rmsprop!$D$32</definedName>
    <definedName localSheetId="5" name="const">adam!$C$1</definedName>
    <definedName localSheetId="6" name="lastconst">adam_ann!$C$32</definedName>
    <definedName localSheetId="3" name="max_clipped">momentum!$M$34</definedName>
    <definedName localSheetId="4" name="gradtarget">rmsprop!$J$33:$K$33</definedName>
    <definedName localSheetId="6" name="slope">adam_ann!$C$2</definedName>
    <definedName localSheetId="5" name="pct_clipped">adam!$O$33</definedName>
    <definedName localSheetId="2" name="histgrad">basic!$K$33:$L$33</definedName>
    <definedName localSheetId="5" name="histgrad">adam!$F$33:$G$33</definedName>
    <definedName localSheetId="2" name="lastconst">basic!$C$32</definedName>
    <definedName localSheetId="2" name="rmses">basic!$C$38:$C$106</definedName>
    <definedName localSheetId="6" name="max_clipped">adam_ann!$O$34</definedName>
    <definedName localSheetId="2" name="slope">basic!$C$2</definedName>
    <definedName localSheetId="4" name="lastconst">rmsprop!$C$32</definedName>
    <definedName localSheetId="3" name="momlast">momentum!$J$32:$K$32</definedName>
    <definedName localSheetId="3" name="pct_clipped">momentum!$M$33</definedName>
  </definedNames>
  <calcPr/>
  <extLst>
    <ext uri="GoogleSheetsCustomDataVersion2">
      <go:sheetsCustomData xmlns:go="http://customooxmlschemas.google.com/" r:id="rId12" roundtripDataChecksum="kppdmkcE3Z3xGb0b+X1QGKLXaaJK4eJhKjCFRjaLzAs="/>
    </ext>
  </extLst>
</workbook>
</file>

<file path=xl/sharedStrings.xml><?xml version="1.0" encoding="utf-8"?>
<sst xmlns="http://schemas.openxmlformats.org/spreadsheetml/2006/main" count="112" uniqueCount="56">
  <si>
    <t>What is this spreadsheet about?</t>
  </si>
  <si>
    <t>This spreadsheet explores different flavors/variations of Stochastic Gradient Descent, the key optimization method used in Deep Learning.</t>
  </si>
  <si>
    <t>To keep things simple, instead of working with neural networks here, we will use a simple linear model (y=ax+b). However, the optimization methods are the same for NNs.</t>
  </si>
  <si>
    <t>Make a copy of this spreadsheet in order to edit and save it. Note that macros only work on 'basic SGD' sheet for now.</t>
  </si>
  <si>
    <t>Goal: We want to create a model so that we can predict y when we're given x.</t>
  </si>
  <si>
    <t>To build the model, we are given training data x, y and we want to find an optimal a, b to create a model of the form y = ax + b.</t>
  </si>
  <si>
    <t>The key idea of SGD:</t>
  </si>
  <si>
    <t>1. Randomly choose some weights to start.</t>
  </si>
  <si>
    <t>2. Use those weights to calculate a prediciton, calculate the error/loss, and then update those weights.</t>
  </si>
  <si>
    <t>3. Repeat step 2 lots of times. Eventually we end up with some decent weights.</t>
  </si>
  <si>
    <t>How does this relate to NNs? To make an analogy with CNNs: x would be our images, y would be the dog/cat labels, and a and b are the weights.</t>
  </si>
  <si>
    <t>We are trying to find the optimal weights (a, b). We use the same optimization methods to find weights for our NNs.</t>
  </si>
  <si>
    <t>Overview of the sheets in this notebook:</t>
  </si>
  <si>
    <t>data:</t>
  </si>
  <si>
    <t>Here we randomly generate some training data x and y that we will use on the other sheets. In the real world, you would get your x and y data from another source. In our CNN, x is the image data and y is the category (dog or cat).</t>
  </si>
  <si>
    <t>We create our data by arbitrarily choosing a and b (a=2, b=30), randomly generating x, and then calculating y = ax + b. We are going to pretend we don't know the true values of a and b, and see if our optimization algorithms help us find them.</t>
  </si>
  <si>
    <t>We can get a sense of how good our answers are, since really we know what the "true" a and b are.</t>
  </si>
  <si>
    <t>basic SGD:</t>
  </si>
  <si>
    <t>This is the most basic, vanilla form of stochastic gradient descent. If we were doing gradient descent (not stochastic!), we would evaluate our error on all our data, and then update the weights a, b.</t>
  </si>
  <si>
    <t>What makes it stochastic is that we're just evaluating the error on a subset of our data (in this case, a single data point. For NNs, this is called our "mini-batch") and then updating the weights.</t>
  </si>
  <si>
    <t>momentum:</t>
  </si>
  <si>
    <t>Accelerate SGD in the relevant direction and dampen side-to-side oscillations</t>
  </si>
  <si>
    <t>It does this by combining a decaying average of previous gradients with the current gradient</t>
  </si>
  <si>
    <t>rmsprop:</t>
  </si>
  <si>
    <t>Adapts the learning rate by dividing by exponentially decaying average of squared gradients</t>
  </si>
  <si>
    <t>adam:</t>
  </si>
  <si>
    <t>rmsprop + momentum</t>
  </si>
  <si>
    <t>adam_ann:</t>
  </si>
  <si>
    <t>adam with learning rate annealling</t>
  </si>
  <si>
    <t>On each sheet, click 'reset' to return the a and b guesses to 1.</t>
  </si>
  <si>
    <t>Click 'run' to copy the last row's updated a and b guesses to the top row, and recalculate, a few times. (Each is effectively one epoch)</t>
  </si>
  <si>
    <t>b</t>
  </si>
  <si>
    <t>const</t>
  </si>
  <si>
    <t>a</t>
  </si>
  <si>
    <t>slope</t>
  </si>
  <si>
    <t>x</t>
  </si>
  <si>
    <t>y</t>
  </si>
  <si>
    <t>intercept</t>
  </si>
  <si>
    <t>learn</t>
  </si>
  <si>
    <t>de/db=2(ax+b-y)</t>
  </si>
  <si>
    <t>e=(ax+b-y)^2</t>
  </si>
  <si>
    <t>de/da=x*2(ax+b-y)</t>
  </si>
  <si>
    <t>y_pred</t>
  </si>
  <si>
    <t>err^2</t>
  </si>
  <si>
    <t>errb1</t>
  </si>
  <si>
    <t>est de/db</t>
  </si>
  <si>
    <t>erra1</t>
  </si>
  <si>
    <t>est de/da</t>
  </si>
  <si>
    <t>de/db</t>
  </si>
  <si>
    <t>de/da</t>
  </si>
  <si>
    <t>new a</t>
  </si>
  <si>
    <t>new b</t>
  </si>
  <si>
    <t>rmse</t>
  </si>
  <si>
    <t>Paste error here:</t>
  </si>
  <si>
    <t>beta</t>
  </si>
  <si>
    <t>pred</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</si>
</sst>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0"/>
  </numFmts>
  <fonts count="7">
    <font>
      <sz val="11.0"/>
      <color theme="1"/>
      <name val="Calibri"/>
      <scheme val="minor"/>
    </font>
    <font>
      <b/>
      <sz val="14.0"/>
      <color rgb="FF000000"/>
      <name val="Calibri"/>
    </font>
    <font>
      <sz val="11.0"/>
      <color theme="1"/>
      <name val="Calibri"/>
    </font>
    <font>
      <sz val="14.0"/>
      <color rgb="FF000000"/>
      <name val="Calibri"/>
    </font>
    <font>
      <color theme="1"/>
      <name val="Calibri"/>
      <scheme val="minor"/>
    </font>
    <font>
      <b/>
      <sz val="11.0"/>
      <color theme="1"/>
      <name val="Calibri"/>
    </font>
    <font>
      <i/>
      <sz val="11.0"/>
      <color theme="1"/>
      <name val="Calibri"/>
    </font>
  </fonts>
  <fills count="2">
    <fill>
      <patternFill patternType="none"/>
    </fill>
    <fill>
      <patternFill patternType="lightGray"/>
    </fill>
  </fills>
  <borders count="6">
    <border/>
    <border>
      <bottom style="medium">
        <color rgb="FF000000"/>
      </bottom>
    </border>
    <border>
      <left style="medium">
        <color rgb="FF000000"/>
      </left>
    </border>
    <border>
      <right style="medium">
        <color rgb="FF000000"/>
      </right>
    </border>
    <border>
      <left style="medium">
        <color rgb="FF000000"/>
      </left>
      <bottom style="medium">
        <color rgb="FF000000"/>
      </bottom>
    </border>
    <border>
      <right style="medium">
        <color rgb="FF000000"/>
      </right>
      <bottom style="medium">
        <color rgb="FF000000"/>
      </bottom>
    </border>
  </borders>
  <cellStyleXfs count="1">
    <xf borderId="0" fillId="0" fontId="0" numFmtId="0" applyAlignment="1" applyFont="1"/>
  </cellStyleXfs>
  <cellXfs count="27">
    <xf borderId="0" fillId="0" fontId="0" numFmtId="0" xfId="0" applyAlignment="1" applyFont="1">
      <alignment readingOrder="0" shrinkToFit="0" vertical="bottom" wrapText="0"/>
    </xf>
    <xf borderId="0" fillId="0" fontId="1" numFmtId="0" xfId="0" applyAlignment="1" applyFont="1">
      <alignment vertical="center"/>
    </xf>
    <xf borderId="0" fillId="0" fontId="2" numFmtId="0" xfId="0" applyAlignment="1" applyFont="1">
      <alignment shrinkToFit="0" wrapText="1"/>
    </xf>
    <xf borderId="0" fillId="0" fontId="3" numFmtId="0" xfId="0" applyAlignment="1" applyFont="1">
      <alignment vertical="center"/>
    </xf>
    <xf borderId="0" fillId="0" fontId="3" numFmtId="0" xfId="0" applyAlignment="1" applyFont="1">
      <alignment shrinkToFit="0" wrapText="1"/>
    </xf>
    <xf borderId="0" fillId="0" fontId="1" numFmtId="0" xfId="0" applyAlignment="1" applyFont="1">
      <alignment shrinkToFit="0" wrapText="1"/>
    </xf>
    <xf borderId="1" fillId="0" fontId="1" numFmtId="0" xfId="0" applyAlignment="1" applyBorder="1" applyFont="1">
      <alignment vertical="center"/>
    </xf>
    <xf borderId="1" fillId="0" fontId="2" numFmtId="0" xfId="0" applyAlignment="1" applyBorder="1" applyFont="1">
      <alignment shrinkToFit="0" wrapText="1"/>
    </xf>
    <xf borderId="2" fillId="0" fontId="3" numFmtId="0" xfId="0" applyAlignment="1" applyBorder="1" applyFont="1">
      <alignment shrinkToFit="0" wrapText="1"/>
    </xf>
    <xf borderId="3" fillId="0" fontId="3" numFmtId="0" xfId="0" applyAlignment="1" applyBorder="1" applyFont="1">
      <alignment shrinkToFit="0" wrapText="1"/>
    </xf>
    <xf borderId="2" fillId="0" fontId="2" numFmtId="0" xfId="0" applyAlignment="1" applyBorder="1" applyFont="1">
      <alignment shrinkToFit="0" wrapText="1"/>
    </xf>
    <xf borderId="4" fillId="0" fontId="2" numFmtId="0" xfId="0" applyAlignment="1" applyBorder="1" applyFont="1">
      <alignment shrinkToFit="0" wrapText="1"/>
    </xf>
    <xf borderId="5" fillId="0" fontId="3" numFmtId="0" xfId="0" applyAlignment="1" applyBorder="1" applyFont="1">
      <alignment shrinkToFit="0" wrapText="1"/>
    </xf>
    <xf borderId="4" fillId="0" fontId="3" numFmtId="0" xfId="0" applyAlignment="1" applyBorder="1" applyFont="1">
      <alignment shrinkToFit="0" wrapText="1"/>
    </xf>
    <xf borderId="0" fillId="0" fontId="4" numFmtId="0" xfId="0" applyFont="1"/>
    <xf borderId="0" fillId="0" fontId="5" numFmtId="0" xfId="0" applyFont="1"/>
    <xf borderId="0" fillId="0" fontId="4" numFmtId="0" xfId="0" applyAlignment="1" applyFont="1">
      <alignment readingOrder="0"/>
    </xf>
    <xf borderId="0" fillId="0" fontId="2" numFmtId="4" xfId="0" applyFont="1" applyNumberFormat="1"/>
    <xf borderId="0" fillId="0" fontId="4" numFmtId="4" xfId="0" applyFont="1" applyNumberFormat="1"/>
    <xf borderId="0" fillId="0" fontId="2" numFmtId="164" xfId="0" applyAlignment="1" applyFont="1" applyNumberFormat="1">
      <alignment readingOrder="0"/>
    </xf>
    <xf borderId="0" fillId="0" fontId="2" numFmtId="164" xfId="0" applyFont="1" applyNumberFormat="1"/>
    <xf borderId="0" fillId="0" fontId="2" numFmtId="2" xfId="0" applyFont="1" applyNumberFormat="1"/>
    <xf borderId="0" fillId="0" fontId="6" numFmtId="11" xfId="0" applyFont="1" applyNumberFormat="1"/>
    <xf borderId="0" fillId="0" fontId="5" numFmtId="164" xfId="0" applyFont="1" applyNumberFormat="1"/>
    <xf borderId="0" fillId="0" fontId="5" numFmtId="2" xfId="0" applyFont="1" applyNumberFormat="1"/>
    <xf borderId="0" fillId="0" fontId="2" numFmtId="9" xfId="0" applyFont="1" applyNumberFormat="1"/>
    <xf borderId="0" fillId="0" fontId="4" numFmtId="2" xfId="0" applyFont="1" applyNumberForma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schemas.openxmlformats.org/officeDocument/2006/relationships/worksheet" Target="worksheets/sheet7.xml"/><Relationship Id="rId10" Type="http://schemas.openxmlformats.org/officeDocument/2006/relationships/worksheet" Target="worksheets/sheet6.xml"/><Relationship Id="rId12"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Error by epoch</a:t>
            </a:r>
          </a:p>
        </c:rich>
      </c:tx>
      <c:overlay val="0"/>
    </c:title>
    <c:plotArea>
      <c:layout/>
      <c:lineChart>
        <c:varyColors val="0"/>
        <c:axId val="1293983180"/>
        <c:axId val="670782035"/>
      </c:lineChart>
      <c:catAx>
        <c:axId val="129398318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670782035"/>
      </c:catAx>
      <c:valAx>
        <c:axId val="670782035"/>
        <c:scaling>
          <c:orientation val="minMax"/>
        </c:scaling>
        <c:delete val="0"/>
        <c:axPos val="l"/>
        <c:tickLblPos val="nextTo"/>
        <c:spPr>
          <a:ln>
            <a:noFill/>
          </a:ln>
        </c:spPr>
        <c:crossAx val="1293983180"/>
      </c:valAx>
    </c:plotArea>
    <c:plotVisOnly val="1"/>
  </c:chart>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142875</xdr:colOff>
      <xdr:row>35</xdr:row>
      <xdr:rowOff>57150</xdr:rowOff>
    </xdr:from>
    <xdr:ext cx="3609975" cy="2971800"/>
    <xdr:graphicFrame>
      <xdr:nvGraphicFramePr>
        <xdr:cNvPr id="248847319"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19.14"/>
    <col customWidth="1" min="2" max="2" width="122.29"/>
    <col customWidth="1" min="3" max="26" width="8.86"/>
  </cols>
  <sheetData>
    <row r="1">
      <c r="A1" s="1" t="s">
        <v>0</v>
      </c>
      <c r="B1" s="2"/>
    </row>
    <row r="2">
      <c r="A2" s="3" t="s">
        <v>1</v>
      </c>
      <c r="B2" s="2"/>
    </row>
    <row r="3">
      <c r="A3" s="3" t="s">
        <v>2</v>
      </c>
      <c r="B3" s="2"/>
    </row>
    <row r="4">
      <c r="A4" s="3" t="s">
        <v>3</v>
      </c>
      <c r="B4" s="2"/>
    </row>
    <row r="5">
      <c r="A5" s="4"/>
      <c r="B5" s="2"/>
    </row>
    <row r="6">
      <c r="A6" s="1" t="s">
        <v>4</v>
      </c>
      <c r="B6" s="2"/>
    </row>
    <row r="7">
      <c r="A7" s="3" t="s">
        <v>5</v>
      </c>
      <c r="B7" s="2"/>
    </row>
    <row r="8">
      <c r="A8" s="5"/>
      <c r="B8" s="2"/>
    </row>
    <row r="9">
      <c r="A9" s="1" t="s">
        <v>6</v>
      </c>
      <c r="B9" s="2"/>
    </row>
    <row r="10">
      <c r="A10" s="3" t="s">
        <v>7</v>
      </c>
      <c r="B10" s="2"/>
    </row>
    <row r="11">
      <c r="A11" s="3" t="s">
        <v>8</v>
      </c>
      <c r="B11" s="2"/>
    </row>
    <row r="12">
      <c r="A12" s="3" t="s">
        <v>9</v>
      </c>
      <c r="B12" s="2"/>
    </row>
    <row r="13">
      <c r="A13" s="5"/>
      <c r="B13" s="2"/>
    </row>
    <row r="14">
      <c r="A14" s="3" t="s">
        <v>10</v>
      </c>
      <c r="B14" s="2"/>
    </row>
    <row r="15">
      <c r="A15" s="3" t="s">
        <v>11</v>
      </c>
      <c r="B15" s="2"/>
    </row>
    <row r="16">
      <c r="A16" s="5"/>
      <c r="B16" s="2"/>
    </row>
    <row r="17">
      <c r="A17" s="6" t="s">
        <v>12</v>
      </c>
      <c r="B17" s="7"/>
    </row>
    <row r="18">
      <c r="A18" s="8" t="s">
        <v>13</v>
      </c>
      <c r="B18" s="9" t="s">
        <v>14</v>
      </c>
    </row>
    <row r="19">
      <c r="A19" s="10"/>
      <c r="B19" s="9" t="s">
        <v>15</v>
      </c>
    </row>
    <row r="20">
      <c r="A20" s="11"/>
      <c r="B20" s="12" t="s">
        <v>16</v>
      </c>
    </row>
    <row r="21" ht="15.75" customHeight="1">
      <c r="A21" s="8" t="s">
        <v>17</v>
      </c>
      <c r="B21" s="9" t="s">
        <v>18</v>
      </c>
    </row>
    <row r="22" ht="15.75" customHeight="1">
      <c r="A22" s="11"/>
      <c r="B22" s="12" t="s">
        <v>19</v>
      </c>
    </row>
    <row r="23" ht="15.75" customHeight="1">
      <c r="A23" s="8" t="s">
        <v>20</v>
      </c>
      <c r="B23" s="9" t="s">
        <v>21</v>
      </c>
    </row>
    <row r="24" ht="15.75" customHeight="1">
      <c r="A24" s="11"/>
      <c r="B24" s="12" t="s">
        <v>22</v>
      </c>
    </row>
    <row r="25" ht="15.75" customHeight="1">
      <c r="A25" s="13" t="s">
        <v>23</v>
      </c>
      <c r="B25" s="12" t="s">
        <v>24</v>
      </c>
    </row>
    <row r="26" ht="15.75" customHeight="1">
      <c r="A26" s="13" t="s">
        <v>25</v>
      </c>
      <c r="B26" s="12" t="s">
        <v>26</v>
      </c>
    </row>
    <row r="27" ht="15.75" customHeight="1">
      <c r="A27" s="13" t="s">
        <v>27</v>
      </c>
      <c r="B27" s="12" t="s">
        <v>28</v>
      </c>
    </row>
    <row r="28" ht="15.75" customHeight="1">
      <c r="A28" s="5"/>
      <c r="B28" s="2"/>
    </row>
    <row r="29" ht="15.75" customHeight="1">
      <c r="A29" s="5"/>
      <c r="B29" s="2" t="s">
        <v>29</v>
      </c>
    </row>
    <row r="30" ht="15.75" customHeight="1">
      <c r="A30" s="5"/>
      <c r="B30" s="2" t="s">
        <v>30</v>
      </c>
    </row>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data">
    <pageSetUpPr/>
  </sheetPr>
  <sheetViews>
    <sheetView workbookViewId="0"/>
  </sheetViews>
  <sheetFormatPr customHeight="1" defaultColWidth="14.43" defaultRowHeight="15.0"/>
  <cols>
    <col customWidth="1" min="1" max="26" width="8.86"/>
  </cols>
  <sheetData>
    <row r="1">
      <c r="A1" s="14" t="s">
        <v>31</v>
      </c>
      <c r="B1" s="14" t="s">
        <v>32</v>
      </c>
      <c r="C1" s="14">
        <v>30.0</v>
      </c>
    </row>
    <row r="2">
      <c r="A2" s="14" t="s">
        <v>33</v>
      </c>
      <c r="B2" s="14" t="s">
        <v>34</v>
      </c>
      <c r="C2" s="14">
        <v>2.0</v>
      </c>
    </row>
    <row r="4">
      <c r="B4" s="15" t="s">
        <v>35</v>
      </c>
      <c r="C4" s="15" t="s">
        <v>36</v>
      </c>
    </row>
    <row r="5">
      <c r="B5" s="14">
        <f t="shared" ref="B5:B33" si="1">RANDBETWEEN(1,100)</f>
        <v>13</v>
      </c>
      <c r="C5" s="14">
        <f t="shared" ref="C5:C33" si="2">$C$1+B5*$C$2</f>
        <v>56</v>
      </c>
    </row>
    <row r="6">
      <c r="B6" s="14">
        <f t="shared" si="1"/>
        <v>26</v>
      </c>
      <c r="C6" s="14">
        <f t="shared" si="2"/>
        <v>82</v>
      </c>
    </row>
    <row r="7">
      <c r="B7" s="14">
        <f t="shared" si="1"/>
        <v>75</v>
      </c>
      <c r="C7" s="14">
        <f t="shared" si="2"/>
        <v>180</v>
      </c>
    </row>
    <row r="8">
      <c r="B8" s="14">
        <f t="shared" si="1"/>
        <v>94</v>
      </c>
      <c r="C8" s="14">
        <f t="shared" si="2"/>
        <v>218</v>
      </c>
    </row>
    <row r="9">
      <c r="B9" s="14">
        <f t="shared" si="1"/>
        <v>93</v>
      </c>
      <c r="C9" s="14">
        <f t="shared" si="2"/>
        <v>216</v>
      </c>
    </row>
    <row r="10">
      <c r="B10" s="14">
        <f t="shared" si="1"/>
        <v>23</v>
      </c>
      <c r="C10" s="14">
        <f t="shared" si="2"/>
        <v>76</v>
      </c>
    </row>
    <row r="11">
      <c r="B11" s="14">
        <f t="shared" si="1"/>
        <v>91</v>
      </c>
      <c r="C11" s="14">
        <f t="shared" si="2"/>
        <v>212</v>
      </c>
    </row>
    <row r="12">
      <c r="B12" s="14">
        <f t="shared" si="1"/>
        <v>11</v>
      </c>
      <c r="C12" s="14">
        <f t="shared" si="2"/>
        <v>52</v>
      </c>
    </row>
    <row r="13">
      <c r="B13" s="14">
        <f t="shared" si="1"/>
        <v>75</v>
      </c>
      <c r="C13" s="14">
        <f t="shared" si="2"/>
        <v>180</v>
      </c>
    </row>
    <row r="14">
      <c r="B14" s="14">
        <f t="shared" si="1"/>
        <v>27</v>
      </c>
      <c r="C14" s="14">
        <f t="shared" si="2"/>
        <v>84</v>
      </c>
    </row>
    <row r="15">
      <c r="B15" s="14">
        <f t="shared" si="1"/>
        <v>9</v>
      </c>
      <c r="C15" s="14">
        <f t="shared" si="2"/>
        <v>48</v>
      </c>
    </row>
    <row r="16">
      <c r="B16" s="14">
        <f t="shared" si="1"/>
        <v>95</v>
      </c>
      <c r="C16" s="14">
        <f t="shared" si="2"/>
        <v>220</v>
      </c>
    </row>
    <row r="17">
      <c r="B17" s="14">
        <f t="shared" si="1"/>
        <v>22</v>
      </c>
      <c r="C17" s="14">
        <f t="shared" si="2"/>
        <v>74</v>
      </c>
    </row>
    <row r="18">
      <c r="B18" s="14">
        <f t="shared" si="1"/>
        <v>32</v>
      </c>
      <c r="C18" s="14">
        <f t="shared" si="2"/>
        <v>94</v>
      </c>
    </row>
    <row r="19">
      <c r="B19" s="14">
        <f t="shared" si="1"/>
        <v>10</v>
      </c>
      <c r="C19" s="14">
        <f t="shared" si="2"/>
        <v>50</v>
      </c>
    </row>
    <row r="20">
      <c r="B20" s="14">
        <f t="shared" si="1"/>
        <v>52</v>
      </c>
      <c r="C20" s="14">
        <f t="shared" si="2"/>
        <v>134</v>
      </c>
    </row>
    <row r="21" ht="15.75" customHeight="1">
      <c r="B21" s="14">
        <f t="shared" si="1"/>
        <v>93</v>
      </c>
      <c r="C21" s="14">
        <f t="shared" si="2"/>
        <v>216</v>
      </c>
    </row>
    <row r="22" ht="15.75" customHeight="1">
      <c r="B22" s="14">
        <f t="shared" si="1"/>
        <v>70</v>
      </c>
      <c r="C22" s="14">
        <f t="shared" si="2"/>
        <v>170</v>
      </c>
    </row>
    <row r="23" ht="15.75" customHeight="1">
      <c r="B23" s="14">
        <f t="shared" si="1"/>
        <v>83</v>
      </c>
      <c r="C23" s="14">
        <f t="shared" si="2"/>
        <v>196</v>
      </c>
    </row>
    <row r="24" ht="15.75" customHeight="1">
      <c r="B24" s="14">
        <f t="shared" si="1"/>
        <v>52</v>
      </c>
      <c r="C24" s="14">
        <f t="shared" si="2"/>
        <v>134</v>
      </c>
    </row>
    <row r="25" ht="15.75" customHeight="1">
      <c r="B25" s="14">
        <f t="shared" si="1"/>
        <v>78</v>
      </c>
      <c r="C25" s="14">
        <f t="shared" si="2"/>
        <v>186</v>
      </c>
    </row>
    <row r="26" ht="15.75" customHeight="1">
      <c r="B26" s="14">
        <f t="shared" si="1"/>
        <v>36</v>
      </c>
      <c r="C26" s="14">
        <f t="shared" si="2"/>
        <v>102</v>
      </c>
    </row>
    <row r="27" ht="15.75" customHeight="1">
      <c r="B27" s="14">
        <f t="shared" si="1"/>
        <v>99</v>
      </c>
      <c r="C27" s="14">
        <f t="shared" si="2"/>
        <v>228</v>
      </c>
    </row>
    <row r="28" ht="15.75" customHeight="1">
      <c r="B28" s="14">
        <f t="shared" si="1"/>
        <v>46</v>
      </c>
      <c r="C28" s="14">
        <f t="shared" si="2"/>
        <v>122</v>
      </c>
    </row>
    <row r="29" ht="15.75" customHeight="1">
      <c r="B29" s="14">
        <f t="shared" si="1"/>
        <v>1</v>
      </c>
      <c r="C29" s="14">
        <f t="shared" si="2"/>
        <v>32</v>
      </c>
    </row>
    <row r="30" ht="15.75" customHeight="1">
      <c r="B30" s="14">
        <f t="shared" si="1"/>
        <v>16</v>
      </c>
      <c r="C30" s="14">
        <f t="shared" si="2"/>
        <v>62</v>
      </c>
    </row>
    <row r="31" ht="15.75" customHeight="1">
      <c r="B31" s="14">
        <f t="shared" si="1"/>
        <v>73</v>
      </c>
      <c r="C31" s="14">
        <f t="shared" si="2"/>
        <v>176</v>
      </c>
    </row>
    <row r="32" ht="15.75" customHeight="1">
      <c r="B32" s="14">
        <f t="shared" si="1"/>
        <v>5</v>
      </c>
      <c r="C32" s="14">
        <f t="shared" si="2"/>
        <v>40</v>
      </c>
    </row>
    <row r="33" ht="15.75" customHeight="1">
      <c r="B33" s="14">
        <f t="shared" si="1"/>
        <v>36</v>
      </c>
      <c r="C33" s="14">
        <f t="shared" si="2"/>
        <v>102</v>
      </c>
    </row>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basic">
    <pageSetUpPr/>
  </sheetPr>
  <sheetViews>
    <sheetView workbookViewId="0">
      <pane ySplit="3.0" topLeftCell="A4" activePane="bottomLeft" state="frozen"/>
      <selection activeCell="B5" sqref="B5" pane="bottomLeft"/>
    </sheetView>
  </sheetViews>
  <sheetFormatPr customHeight="1" defaultColWidth="14.43" defaultRowHeight="15.0"/>
  <cols>
    <col customWidth="1" min="1" max="1" width="7.0"/>
    <col customWidth="1" min="2" max="2" width="7.86"/>
    <col customWidth="1" min="3" max="3" width="8.86"/>
    <col customWidth="1" min="4" max="4" width="7.0"/>
    <col customWidth="1" min="5" max="5" width="8.14"/>
    <col customWidth="1" min="6" max="6" width="9.43"/>
    <col customWidth="1" min="7" max="7" width="9.0"/>
    <col customWidth="1" min="8" max="8" width="11.0"/>
    <col customWidth="1" min="9" max="9" width="10.86"/>
    <col customWidth="1" min="10" max="10" width="9.71"/>
    <col customWidth="1" min="11" max="11" width="7.14"/>
    <col customWidth="1" min="12" max="12" width="9.71"/>
    <col customWidth="1" min="13" max="13" width="5.71"/>
    <col customWidth="1" min="14" max="14" width="5.86"/>
    <col customWidth="1" min="15" max="26" width="8.86"/>
  </cols>
  <sheetData>
    <row r="1" ht="17.25" customHeight="1">
      <c r="B1" s="14" t="s">
        <v>37</v>
      </c>
      <c r="C1" s="16">
        <v>1.0</v>
      </c>
      <c r="E1" s="14" t="s">
        <v>38</v>
      </c>
      <c r="F1" s="14">
        <v>1.0E-4</v>
      </c>
      <c r="I1" s="14" t="s">
        <v>39</v>
      </c>
    </row>
    <row r="2" ht="17.25" customHeight="1">
      <c r="B2" s="14" t="s">
        <v>34</v>
      </c>
      <c r="C2" s="16">
        <v>1.0</v>
      </c>
      <c r="H2" s="14" t="s">
        <v>40</v>
      </c>
      <c r="I2" s="14" t="s">
        <v>41</v>
      </c>
    </row>
    <row r="3">
      <c r="A3" s="15" t="s">
        <v>35</v>
      </c>
      <c r="B3" s="15" t="s">
        <v>36</v>
      </c>
      <c r="C3" s="15" t="s">
        <v>37</v>
      </c>
      <c r="D3" s="15" t="s">
        <v>34</v>
      </c>
      <c r="E3" s="15" t="s">
        <v>42</v>
      </c>
      <c r="F3" s="15" t="s">
        <v>43</v>
      </c>
      <c r="G3" s="15" t="s">
        <v>44</v>
      </c>
      <c r="H3" s="15" t="s">
        <v>45</v>
      </c>
      <c r="I3" s="15" t="s">
        <v>46</v>
      </c>
      <c r="J3" s="15" t="s">
        <v>47</v>
      </c>
      <c r="K3" s="15" t="s">
        <v>48</v>
      </c>
      <c r="L3" s="15" t="s">
        <v>49</v>
      </c>
      <c r="M3" s="15" t="s">
        <v>50</v>
      </c>
      <c r="N3" s="15" t="s">
        <v>51</v>
      </c>
      <c r="O3" s="15"/>
      <c r="P3" s="15"/>
      <c r="Q3" s="15"/>
      <c r="R3" s="15"/>
      <c r="S3" s="15"/>
      <c r="T3" s="15"/>
      <c r="U3" s="15"/>
      <c r="V3" s="15"/>
      <c r="W3" s="15"/>
      <c r="X3" s="15"/>
      <c r="Y3" s="15"/>
      <c r="Z3" s="15"/>
    </row>
    <row r="4">
      <c r="A4" s="14">
        <v>14.0</v>
      </c>
      <c r="B4" s="14">
        <v>58.0</v>
      </c>
      <c r="C4" s="14">
        <f>C1</f>
        <v>1</v>
      </c>
      <c r="D4" s="14">
        <f>C2</f>
        <v>1</v>
      </c>
      <c r="E4" s="14">
        <f t="shared" ref="E4:E32" si="1">C4+D4*A4</f>
        <v>15</v>
      </c>
      <c r="F4" s="17">
        <f t="shared" ref="F4:F32" si="2">(B4-E4)^2</f>
        <v>1849</v>
      </c>
      <c r="G4" s="17">
        <f t="shared" ref="G4:G32" si="3">(((C4+0.01)+A4*D4)-B4)^2</f>
        <v>1848.1401</v>
      </c>
      <c r="H4" s="17">
        <f t="shared" ref="H4:H32" si="4">(G4-F4)/0.01</f>
        <v>-85.99</v>
      </c>
      <c r="I4" s="17">
        <f t="shared" ref="I4:I32" si="5">(((D4+0.01)*A4+C4)-B4)^2</f>
        <v>1836.9796</v>
      </c>
      <c r="J4" s="17">
        <f t="shared" ref="J4:J32" si="6">(I4-F4)/0.01</f>
        <v>-1202.04</v>
      </c>
      <c r="K4" s="17">
        <f t="shared" ref="K4:K32" si="7">2*(E4-B4)</f>
        <v>-86</v>
      </c>
      <c r="L4" s="17">
        <f t="shared" ref="L4:L32" si="8">K4*A4</f>
        <v>-1204</v>
      </c>
      <c r="M4" s="17">
        <f t="shared" ref="M4:M32" si="9">D4-L4*$F$1</f>
        <v>1.1204</v>
      </c>
      <c r="N4" s="17">
        <f t="shared" ref="N4:N32" si="10">C4-K4*$F$1</f>
        <v>1.0086</v>
      </c>
    </row>
    <row r="5">
      <c r="A5" s="14">
        <v>86.0</v>
      </c>
      <c r="B5" s="14">
        <v>202.0</v>
      </c>
      <c r="C5" s="18">
        <f t="shared" ref="C5:C32" si="11">N4</f>
        <v>1.0086</v>
      </c>
      <c r="D5" s="18">
        <f t="shared" ref="D5:D32" si="12">M4</f>
        <v>1.1204</v>
      </c>
      <c r="E5" s="18">
        <f t="shared" si="1"/>
        <v>97.363</v>
      </c>
      <c r="F5" s="17">
        <f t="shared" si="2"/>
        <v>10948.90177</v>
      </c>
      <c r="G5" s="17">
        <f t="shared" si="3"/>
        <v>10946.80913</v>
      </c>
      <c r="H5" s="17">
        <f t="shared" si="4"/>
        <v>-209.264</v>
      </c>
      <c r="I5" s="17">
        <f t="shared" si="5"/>
        <v>10769.66573</v>
      </c>
      <c r="J5" s="17">
        <f t="shared" si="6"/>
        <v>-17923.604</v>
      </c>
      <c r="K5" s="17">
        <f t="shared" si="7"/>
        <v>-209.274</v>
      </c>
      <c r="L5" s="17">
        <f t="shared" si="8"/>
        <v>-17997.564</v>
      </c>
      <c r="M5" s="17">
        <f t="shared" si="9"/>
        <v>2.9201564</v>
      </c>
      <c r="N5" s="17">
        <f t="shared" si="10"/>
        <v>1.0295274</v>
      </c>
    </row>
    <row r="6">
      <c r="A6" s="14">
        <v>28.0</v>
      </c>
      <c r="B6" s="14">
        <v>86.0</v>
      </c>
      <c r="C6" s="18">
        <f t="shared" si="11"/>
        <v>1.0295274</v>
      </c>
      <c r="D6" s="18">
        <f t="shared" si="12"/>
        <v>2.9201564</v>
      </c>
      <c r="E6" s="18">
        <f t="shared" si="1"/>
        <v>82.7939066</v>
      </c>
      <c r="F6" s="17">
        <f t="shared" si="2"/>
        <v>10.27903489</v>
      </c>
      <c r="G6" s="17">
        <f t="shared" si="3"/>
        <v>10.21501302</v>
      </c>
      <c r="H6" s="17">
        <f t="shared" si="4"/>
        <v>-6.4021868</v>
      </c>
      <c r="I6" s="17">
        <f t="shared" si="5"/>
        <v>8.562022586</v>
      </c>
      <c r="J6" s="17">
        <f t="shared" si="6"/>
        <v>-171.7012304</v>
      </c>
      <c r="K6" s="17">
        <f t="shared" si="7"/>
        <v>-6.4121868</v>
      </c>
      <c r="L6" s="17">
        <f t="shared" si="8"/>
        <v>-179.5412304</v>
      </c>
      <c r="M6" s="17">
        <f t="shared" si="9"/>
        <v>2.938110523</v>
      </c>
      <c r="N6" s="17">
        <f t="shared" si="10"/>
        <v>1.030168619</v>
      </c>
    </row>
    <row r="7">
      <c r="A7" s="14">
        <v>51.0</v>
      </c>
      <c r="B7" s="14">
        <v>132.0</v>
      </c>
      <c r="C7" s="18">
        <f t="shared" si="11"/>
        <v>1.030168619</v>
      </c>
      <c r="D7" s="18">
        <f t="shared" si="12"/>
        <v>2.938110523</v>
      </c>
      <c r="E7" s="18">
        <f t="shared" si="1"/>
        <v>150.8738053</v>
      </c>
      <c r="F7" s="17">
        <f t="shared" si="2"/>
        <v>356.2205263</v>
      </c>
      <c r="G7" s="17">
        <f t="shared" si="3"/>
        <v>356.5981024</v>
      </c>
      <c r="H7" s="17">
        <f t="shared" si="4"/>
        <v>37.75761059</v>
      </c>
      <c r="I7" s="17">
        <f t="shared" si="5"/>
        <v>375.7319077</v>
      </c>
      <c r="J7" s="17">
        <f t="shared" si="6"/>
        <v>1951.13814</v>
      </c>
      <c r="K7" s="17">
        <f t="shared" si="7"/>
        <v>37.74761059</v>
      </c>
      <c r="L7" s="17">
        <f t="shared" si="8"/>
        <v>1925.12814</v>
      </c>
      <c r="M7" s="17">
        <f t="shared" si="9"/>
        <v>2.745597709</v>
      </c>
      <c r="N7" s="17">
        <f t="shared" si="10"/>
        <v>1.026393858</v>
      </c>
    </row>
    <row r="8">
      <c r="A8" s="14">
        <v>28.0</v>
      </c>
      <c r="B8" s="14">
        <v>86.0</v>
      </c>
      <c r="C8" s="18">
        <f t="shared" si="11"/>
        <v>1.026393858</v>
      </c>
      <c r="D8" s="18">
        <f t="shared" si="12"/>
        <v>2.745597709</v>
      </c>
      <c r="E8" s="18">
        <f t="shared" si="1"/>
        <v>77.90312971</v>
      </c>
      <c r="F8" s="17">
        <f t="shared" si="2"/>
        <v>65.55930848</v>
      </c>
      <c r="G8" s="17">
        <f t="shared" si="3"/>
        <v>65.39747107</v>
      </c>
      <c r="H8" s="17">
        <f t="shared" si="4"/>
        <v>-16.18374058</v>
      </c>
      <c r="I8" s="17">
        <f t="shared" si="5"/>
        <v>61.10346112</v>
      </c>
      <c r="J8" s="17">
        <f t="shared" si="6"/>
        <v>-445.5847362</v>
      </c>
      <c r="K8" s="17">
        <f t="shared" si="7"/>
        <v>-16.19374058</v>
      </c>
      <c r="L8" s="17">
        <f t="shared" si="8"/>
        <v>-453.4247362</v>
      </c>
      <c r="M8" s="17">
        <f t="shared" si="9"/>
        <v>2.790940183</v>
      </c>
      <c r="N8" s="17">
        <f t="shared" si="10"/>
        <v>1.028013232</v>
      </c>
    </row>
    <row r="9">
      <c r="A9" s="14">
        <v>29.0</v>
      </c>
      <c r="B9" s="14">
        <v>88.0</v>
      </c>
      <c r="C9" s="18">
        <f t="shared" si="11"/>
        <v>1.028013232</v>
      </c>
      <c r="D9" s="18">
        <f t="shared" si="12"/>
        <v>2.790940183</v>
      </c>
      <c r="E9" s="18">
        <f t="shared" si="1"/>
        <v>81.96527853</v>
      </c>
      <c r="F9" s="17">
        <f t="shared" si="2"/>
        <v>36.41786323</v>
      </c>
      <c r="G9" s="17">
        <f t="shared" si="3"/>
        <v>36.2972688</v>
      </c>
      <c r="H9" s="17">
        <f t="shared" si="4"/>
        <v>-12.05944294</v>
      </c>
      <c r="I9" s="17">
        <f t="shared" si="5"/>
        <v>33.00182478</v>
      </c>
      <c r="J9" s="17">
        <f t="shared" si="6"/>
        <v>-341.6038453</v>
      </c>
      <c r="K9" s="17">
        <f t="shared" si="7"/>
        <v>-12.06944294</v>
      </c>
      <c r="L9" s="17">
        <f t="shared" si="8"/>
        <v>-350.0138453</v>
      </c>
      <c r="M9" s="17">
        <f t="shared" si="9"/>
        <v>2.825941567</v>
      </c>
      <c r="N9" s="17">
        <f t="shared" si="10"/>
        <v>1.029220176</v>
      </c>
    </row>
    <row r="10">
      <c r="A10" s="14">
        <v>72.0</v>
      </c>
      <c r="B10" s="14">
        <v>174.0</v>
      </c>
      <c r="C10" s="18">
        <f t="shared" si="11"/>
        <v>1.029220176</v>
      </c>
      <c r="D10" s="18">
        <f t="shared" si="12"/>
        <v>2.825941567</v>
      </c>
      <c r="E10" s="18">
        <f t="shared" si="1"/>
        <v>204.497013</v>
      </c>
      <c r="F10" s="17">
        <f t="shared" si="2"/>
        <v>930.0678028</v>
      </c>
      <c r="G10" s="17">
        <f t="shared" si="3"/>
        <v>930.677843</v>
      </c>
      <c r="H10" s="17">
        <f t="shared" si="4"/>
        <v>61.00402603</v>
      </c>
      <c r="I10" s="17">
        <f t="shared" si="5"/>
        <v>974.5019015</v>
      </c>
      <c r="J10" s="17">
        <f t="shared" si="6"/>
        <v>4443.409874</v>
      </c>
      <c r="K10" s="17">
        <f t="shared" si="7"/>
        <v>60.99402603</v>
      </c>
      <c r="L10" s="17">
        <f t="shared" si="8"/>
        <v>4391.569874</v>
      </c>
      <c r="M10" s="17">
        <f t="shared" si="9"/>
        <v>2.38678458</v>
      </c>
      <c r="N10" s="17">
        <f t="shared" si="10"/>
        <v>1.023120773</v>
      </c>
    </row>
    <row r="11">
      <c r="A11" s="14">
        <v>62.0</v>
      </c>
      <c r="B11" s="14">
        <v>154.0</v>
      </c>
      <c r="C11" s="18">
        <f t="shared" si="11"/>
        <v>1.023120773</v>
      </c>
      <c r="D11" s="18">
        <f t="shared" si="12"/>
        <v>2.38678458</v>
      </c>
      <c r="E11" s="18">
        <f t="shared" si="1"/>
        <v>149.0037647</v>
      </c>
      <c r="F11" s="17">
        <f t="shared" si="2"/>
        <v>24.96236697</v>
      </c>
      <c r="G11" s="17">
        <f t="shared" si="3"/>
        <v>24.86254226</v>
      </c>
      <c r="H11" s="17">
        <f t="shared" si="4"/>
        <v>-9.982470559</v>
      </c>
      <c r="I11" s="17">
        <f t="shared" si="5"/>
        <v>19.15143522</v>
      </c>
      <c r="J11" s="17">
        <f t="shared" si="6"/>
        <v>-581.0931747</v>
      </c>
      <c r="K11" s="17">
        <f t="shared" si="7"/>
        <v>-9.992470559</v>
      </c>
      <c r="L11" s="17">
        <f t="shared" si="8"/>
        <v>-619.5331747</v>
      </c>
      <c r="M11" s="17">
        <f t="shared" si="9"/>
        <v>2.448737897</v>
      </c>
      <c r="N11" s="17">
        <f t="shared" si="10"/>
        <v>1.02412002</v>
      </c>
    </row>
    <row r="12">
      <c r="A12" s="14">
        <v>84.0</v>
      </c>
      <c r="B12" s="14">
        <v>198.0</v>
      </c>
      <c r="C12" s="18">
        <f t="shared" si="11"/>
        <v>1.02412002</v>
      </c>
      <c r="D12" s="18">
        <f t="shared" si="12"/>
        <v>2.448737897</v>
      </c>
      <c r="E12" s="18">
        <f t="shared" si="1"/>
        <v>206.7181034</v>
      </c>
      <c r="F12" s="17">
        <f t="shared" si="2"/>
        <v>76.00532672</v>
      </c>
      <c r="G12" s="17">
        <f t="shared" si="3"/>
        <v>76.17978879</v>
      </c>
      <c r="H12" s="17">
        <f t="shared" si="4"/>
        <v>17.44620678</v>
      </c>
      <c r="I12" s="17">
        <f t="shared" si="5"/>
        <v>91.35734042</v>
      </c>
      <c r="J12" s="17">
        <f t="shared" si="6"/>
        <v>1535.20137</v>
      </c>
      <c r="K12" s="17">
        <f t="shared" si="7"/>
        <v>17.43620678</v>
      </c>
      <c r="L12" s="17">
        <f t="shared" si="8"/>
        <v>1464.64137</v>
      </c>
      <c r="M12" s="17">
        <f t="shared" si="9"/>
        <v>2.30227376</v>
      </c>
      <c r="N12" s="17">
        <f t="shared" si="10"/>
        <v>1.0223764</v>
      </c>
    </row>
    <row r="13">
      <c r="A13" s="14">
        <v>15.0</v>
      </c>
      <c r="B13" s="14">
        <v>60.0</v>
      </c>
      <c r="C13" s="18">
        <f t="shared" si="11"/>
        <v>1.0223764</v>
      </c>
      <c r="D13" s="18">
        <f t="shared" si="12"/>
        <v>2.30227376</v>
      </c>
      <c r="E13" s="18">
        <f t="shared" si="1"/>
        <v>35.5564828</v>
      </c>
      <c r="F13" s="17">
        <f t="shared" si="2"/>
        <v>597.4855329</v>
      </c>
      <c r="G13" s="17">
        <f t="shared" si="3"/>
        <v>596.9967626</v>
      </c>
      <c r="H13" s="17">
        <f t="shared" si="4"/>
        <v>-48.87703439</v>
      </c>
      <c r="I13" s="17">
        <f t="shared" si="5"/>
        <v>590.1749777</v>
      </c>
      <c r="J13" s="17">
        <f t="shared" si="6"/>
        <v>-731.0555159</v>
      </c>
      <c r="K13" s="17">
        <f t="shared" si="7"/>
        <v>-48.88703439</v>
      </c>
      <c r="L13" s="17">
        <f t="shared" si="8"/>
        <v>-733.3055159</v>
      </c>
      <c r="M13" s="17">
        <f t="shared" si="9"/>
        <v>2.375604312</v>
      </c>
      <c r="N13" s="17">
        <f t="shared" si="10"/>
        <v>1.027265103</v>
      </c>
    </row>
    <row r="14">
      <c r="A14" s="14">
        <v>42.0</v>
      </c>
      <c r="B14" s="14">
        <v>114.0</v>
      </c>
      <c r="C14" s="18">
        <f t="shared" si="11"/>
        <v>1.027265103</v>
      </c>
      <c r="D14" s="18">
        <f t="shared" si="12"/>
        <v>2.375604312</v>
      </c>
      <c r="E14" s="18">
        <f t="shared" si="1"/>
        <v>100.8026462</v>
      </c>
      <c r="F14" s="17">
        <f t="shared" si="2"/>
        <v>174.1701473</v>
      </c>
      <c r="G14" s="17">
        <f t="shared" si="3"/>
        <v>173.9063002</v>
      </c>
      <c r="H14" s="17">
        <f t="shared" si="4"/>
        <v>-26.38470759</v>
      </c>
      <c r="I14" s="17">
        <f t="shared" si="5"/>
        <v>163.2607701</v>
      </c>
      <c r="J14" s="17">
        <f t="shared" si="6"/>
        <v>-1090.937719</v>
      </c>
      <c r="K14" s="17">
        <f t="shared" si="7"/>
        <v>-26.39470759</v>
      </c>
      <c r="L14" s="17">
        <f t="shared" si="8"/>
        <v>-1108.577719</v>
      </c>
      <c r="M14" s="17">
        <f t="shared" si="9"/>
        <v>2.486462084</v>
      </c>
      <c r="N14" s="17">
        <f t="shared" si="10"/>
        <v>1.029904574</v>
      </c>
    </row>
    <row r="15">
      <c r="A15" s="14">
        <v>62.0</v>
      </c>
      <c r="B15" s="14">
        <v>154.0</v>
      </c>
      <c r="C15" s="18">
        <f t="shared" si="11"/>
        <v>1.029904574</v>
      </c>
      <c r="D15" s="18">
        <f t="shared" si="12"/>
        <v>2.486462084</v>
      </c>
      <c r="E15" s="18">
        <f t="shared" si="1"/>
        <v>155.1905538</v>
      </c>
      <c r="F15" s="17">
        <f t="shared" si="2"/>
        <v>1.417418277</v>
      </c>
      <c r="G15" s="17">
        <f t="shared" si="3"/>
        <v>1.441329352</v>
      </c>
      <c r="H15" s="17">
        <f t="shared" si="4"/>
        <v>2.391107538</v>
      </c>
      <c r="I15" s="17">
        <f t="shared" si="5"/>
        <v>3.27810495</v>
      </c>
      <c r="J15" s="17">
        <f t="shared" si="6"/>
        <v>186.0686673</v>
      </c>
      <c r="K15" s="17">
        <f t="shared" si="7"/>
        <v>2.381107538</v>
      </c>
      <c r="L15" s="17">
        <f t="shared" si="8"/>
        <v>147.6286673</v>
      </c>
      <c r="M15" s="17">
        <f t="shared" si="9"/>
        <v>2.471699217</v>
      </c>
      <c r="N15" s="17">
        <f t="shared" si="10"/>
        <v>1.029666463</v>
      </c>
    </row>
    <row r="16">
      <c r="A16" s="14">
        <v>47.0</v>
      </c>
      <c r="B16" s="14">
        <v>124.0</v>
      </c>
      <c r="C16" s="18">
        <f t="shared" si="11"/>
        <v>1.029666463</v>
      </c>
      <c r="D16" s="18">
        <f t="shared" si="12"/>
        <v>2.471699217</v>
      </c>
      <c r="E16" s="18">
        <f t="shared" si="1"/>
        <v>117.1995297</v>
      </c>
      <c r="F16" s="17">
        <f t="shared" si="2"/>
        <v>46.24639678</v>
      </c>
      <c r="G16" s="17">
        <f t="shared" si="3"/>
        <v>46.11048737</v>
      </c>
      <c r="H16" s="17">
        <f t="shared" si="4"/>
        <v>-13.59094067</v>
      </c>
      <c r="I16" s="17">
        <f t="shared" si="5"/>
        <v>40.07485467</v>
      </c>
      <c r="J16" s="17">
        <f t="shared" si="6"/>
        <v>-617.1542115</v>
      </c>
      <c r="K16" s="17">
        <f t="shared" si="7"/>
        <v>-13.60094067</v>
      </c>
      <c r="L16" s="17">
        <f t="shared" si="8"/>
        <v>-639.2442115</v>
      </c>
      <c r="M16" s="17">
        <f t="shared" si="9"/>
        <v>2.535623638</v>
      </c>
      <c r="N16" s="17">
        <f t="shared" si="10"/>
        <v>1.031026557</v>
      </c>
    </row>
    <row r="17">
      <c r="A17" s="14">
        <v>35.0</v>
      </c>
      <c r="B17" s="14">
        <v>100.0</v>
      </c>
      <c r="C17" s="18">
        <f t="shared" si="11"/>
        <v>1.031026557</v>
      </c>
      <c r="D17" s="18">
        <f t="shared" si="12"/>
        <v>2.535623638</v>
      </c>
      <c r="E17" s="18">
        <f t="shared" si="1"/>
        <v>89.77785389</v>
      </c>
      <c r="F17" s="17">
        <f t="shared" si="2"/>
        <v>104.492271</v>
      </c>
      <c r="G17" s="17">
        <f t="shared" si="3"/>
        <v>104.2879281</v>
      </c>
      <c r="H17" s="17">
        <f t="shared" si="4"/>
        <v>-20.43429221</v>
      </c>
      <c r="I17" s="17">
        <f t="shared" si="5"/>
        <v>97.45926873</v>
      </c>
      <c r="J17" s="17">
        <f t="shared" si="6"/>
        <v>-703.3002274</v>
      </c>
      <c r="K17" s="17">
        <f t="shared" si="7"/>
        <v>-20.44429221</v>
      </c>
      <c r="L17" s="17">
        <f t="shared" si="8"/>
        <v>-715.5502274</v>
      </c>
      <c r="M17" s="17">
        <f t="shared" si="9"/>
        <v>2.607178661</v>
      </c>
      <c r="N17" s="17">
        <f t="shared" si="10"/>
        <v>1.033070986</v>
      </c>
    </row>
    <row r="18">
      <c r="A18" s="14">
        <v>9.0</v>
      </c>
      <c r="B18" s="14">
        <v>48.0</v>
      </c>
      <c r="C18" s="18">
        <f t="shared" si="11"/>
        <v>1.033070986</v>
      </c>
      <c r="D18" s="18">
        <f t="shared" si="12"/>
        <v>2.607178661</v>
      </c>
      <c r="E18" s="18">
        <f t="shared" si="1"/>
        <v>24.49767893</v>
      </c>
      <c r="F18" s="17">
        <f t="shared" si="2"/>
        <v>552.3590954</v>
      </c>
      <c r="G18" s="17">
        <f t="shared" si="3"/>
        <v>551.889149</v>
      </c>
      <c r="H18" s="17">
        <f t="shared" si="4"/>
        <v>-46.99464213</v>
      </c>
      <c r="I18" s="17">
        <f t="shared" si="5"/>
        <v>548.1367777</v>
      </c>
      <c r="J18" s="17">
        <f t="shared" si="6"/>
        <v>-422.2317792</v>
      </c>
      <c r="K18" s="17">
        <f t="shared" si="7"/>
        <v>-47.00464213</v>
      </c>
      <c r="L18" s="17">
        <f t="shared" si="8"/>
        <v>-423.0417792</v>
      </c>
      <c r="M18" s="17">
        <f t="shared" si="9"/>
        <v>2.649482839</v>
      </c>
      <c r="N18" s="17">
        <f t="shared" si="10"/>
        <v>1.037771451</v>
      </c>
    </row>
    <row r="19">
      <c r="A19" s="14">
        <v>38.0</v>
      </c>
      <c r="B19" s="14">
        <v>106.0</v>
      </c>
      <c r="C19" s="18">
        <f t="shared" si="11"/>
        <v>1.037771451</v>
      </c>
      <c r="D19" s="18">
        <f t="shared" si="12"/>
        <v>2.649482839</v>
      </c>
      <c r="E19" s="18">
        <f t="shared" si="1"/>
        <v>101.7181193</v>
      </c>
      <c r="F19" s="17">
        <f t="shared" si="2"/>
        <v>18.33450209</v>
      </c>
      <c r="G19" s="17">
        <f t="shared" si="3"/>
        <v>18.24896448</v>
      </c>
      <c r="H19" s="17">
        <f t="shared" si="4"/>
        <v>-8.553761345</v>
      </c>
      <c r="I19" s="17">
        <f t="shared" si="5"/>
        <v>15.22467278</v>
      </c>
      <c r="J19" s="17">
        <f t="shared" si="6"/>
        <v>-310.9829311</v>
      </c>
      <c r="K19" s="17">
        <f t="shared" si="7"/>
        <v>-8.563761345</v>
      </c>
      <c r="L19" s="17">
        <f t="shared" si="8"/>
        <v>-325.4229311</v>
      </c>
      <c r="M19" s="17">
        <f t="shared" si="9"/>
        <v>2.682025132</v>
      </c>
      <c r="N19" s="17">
        <f t="shared" si="10"/>
        <v>1.038627827</v>
      </c>
    </row>
    <row r="20">
      <c r="A20" s="14">
        <v>44.0</v>
      </c>
      <c r="B20" s="14">
        <v>118.0</v>
      </c>
      <c r="C20" s="18">
        <f t="shared" si="11"/>
        <v>1.038627827</v>
      </c>
      <c r="D20" s="18">
        <f t="shared" si="12"/>
        <v>2.682025132</v>
      </c>
      <c r="E20" s="18">
        <f t="shared" si="1"/>
        <v>119.0477336</v>
      </c>
      <c r="F20" s="17">
        <f t="shared" si="2"/>
        <v>1.097745767</v>
      </c>
      <c r="G20" s="17">
        <f t="shared" si="3"/>
        <v>1.11880044</v>
      </c>
      <c r="H20" s="17">
        <f t="shared" si="4"/>
        <v>2.105467267</v>
      </c>
      <c r="I20" s="17">
        <f t="shared" si="5"/>
        <v>2.213351365</v>
      </c>
      <c r="J20" s="17">
        <f t="shared" si="6"/>
        <v>111.5605598</v>
      </c>
      <c r="K20" s="17">
        <f t="shared" si="7"/>
        <v>2.095467267</v>
      </c>
      <c r="L20" s="17">
        <f t="shared" si="8"/>
        <v>92.20055976</v>
      </c>
      <c r="M20" s="17">
        <f t="shared" si="9"/>
        <v>2.672805076</v>
      </c>
      <c r="N20" s="17">
        <f t="shared" si="10"/>
        <v>1.03841828</v>
      </c>
    </row>
    <row r="21" ht="15.75" customHeight="1">
      <c r="A21" s="14">
        <v>99.0</v>
      </c>
      <c r="B21" s="14">
        <v>228.0</v>
      </c>
      <c r="C21" s="18">
        <f t="shared" si="11"/>
        <v>1.03841828</v>
      </c>
      <c r="D21" s="18">
        <f t="shared" si="12"/>
        <v>2.672805076</v>
      </c>
      <c r="E21" s="18">
        <f t="shared" si="1"/>
        <v>265.6461208</v>
      </c>
      <c r="F21" s="17">
        <f t="shared" si="2"/>
        <v>1417.230412</v>
      </c>
      <c r="G21" s="17">
        <f t="shared" si="3"/>
        <v>1417.983434</v>
      </c>
      <c r="H21" s="17">
        <f t="shared" si="4"/>
        <v>75.30224161</v>
      </c>
      <c r="I21" s="17">
        <f t="shared" si="5"/>
        <v>1492.749831</v>
      </c>
      <c r="J21" s="17">
        <f t="shared" si="6"/>
        <v>7551.941919</v>
      </c>
      <c r="K21" s="17">
        <f t="shared" si="7"/>
        <v>75.29224161</v>
      </c>
      <c r="L21" s="17">
        <f t="shared" si="8"/>
        <v>7453.931919</v>
      </c>
      <c r="M21" s="17">
        <f t="shared" si="9"/>
        <v>1.927411884</v>
      </c>
      <c r="N21" s="17">
        <f t="shared" si="10"/>
        <v>1.030889056</v>
      </c>
    </row>
    <row r="22" ht="15.75" customHeight="1">
      <c r="A22" s="14">
        <v>13.0</v>
      </c>
      <c r="B22" s="14">
        <v>56.0</v>
      </c>
      <c r="C22" s="18">
        <f t="shared" si="11"/>
        <v>1.030889056</v>
      </c>
      <c r="D22" s="18">
        <f t="shared" si="12"/>
        <v>1.927411884</v>
      </c>
      <c r="E22" s="18">
        <f t="shared" si="1"/>
        <v>26.08724355</v>
      </c>
      <c r="F22" s="17">
        <f t="shared" si="2"/>
        <v>894.7729985</v>
      </c>
      <c r="G22" s="17">
        <f t="shared" si="3"/>
        <v>894.1748434</v>
      </c>
      <c r="H22" s="17">
        <f t="shared" si="4"/>
        <v>-59.8155129</v>
      </c>
      <c r="I22" s="17">
        <f t="shared" si="5"/>
        <v>887.0125818</v>
      </c>
      <c r="J22" s="17">
        <f t="shared" si="6"/>
        <v>-776.0416677</v>
      </c>
      <c r="K22" s="17">
        <f t="shared" si="7"/>
        <v>-59.8255129</v>
      </c>
      <c r="L22" s="17">
        <f t="shared" si="8"/>
        <v>-777.7316677</v>
      </c>
      <c r="M22" s="17">
        <f t="shared" si="9"/>
        <v>2.005185051</v>
      </c>
      <c r="N22" s="17">
        <f t="shared" si="10"/>
        <v>1.036871607</v>
      </c>
    </row>
    <row r="23" ht="15.75" customHeight="1">
      <c r="A23" s="14">
        <v>21.0</v>
      </c>
      <c r="B23" s="14">
        <v>72.0</v>
      </c>
      <c r="C23" s="18">
        <f t="shared" si="11"/>
        <v>1.036871607</v>
      </c>
      <c r="D23" s="18">
        <f t="shared" si="12"/>
        <v>2.005185051</v>
      </c>
      <c r="E23" s="18">
        <f t="shared" si="1"/>
        <v>43.14575768</v>
      </c>
      <c r="F23" s="17">
        <f t="shared" si="2"/>
        <v>832.5673001</v>
      </c>
      <c r="G23" s="17">
        <f t="shared" si="3"/>
        <v>831.9903153</v>
      </c>
      <c r="H23" s="17">
        <f t="shared" si="4"/>
        <v>-57.69848465</v>
      </c>
      <c r="I23" s="17">
        <f t="shared" si="5"/>
        <v>820.4926184</v>
      </c>
      <c r="J23" s="17">
        <f t="shared" si="6"/>
        <v>-1207.468178</v>
      </c>
      <c r="K23" s="17">
        <f t="shared" si="7"/>
        <v>-57.70848465</v>
      </c>
      <c r="L23" s="17">
        <f t="shared" si="8"/>
        <v>-1211.878178</v>
      </c>
      <c r="M23" s="17">
        <f t="shared" si="9"/>
        <v>2.126372869</v>
      </c>
      <c r="N23" s="17">
        <f t="shared" si="10"/>
        <v>1.042642456</v>
      </c>
    </row>
    <row r="24" ht="15.75" customHeight="1">
      <c r="A24" s="14">
        <v>28.0</v>
      </c>
      <c r="B24" s="14">
        <v>86.0</v>
      </c>
      <c r="C24" s="18">
        <f t="shared" si="11"/>
        <v>1.042642456</v>
      </c>
      <c r="D24" s="18">
        <f t="shared" si="12"/>
        <v>2.126372869</v>
      </c>
      <c r="E24" s="18">
        <f t="shared" si="1"/>
        <v>60.58108278</v>
      </c>
      <c r="F24" s="17">
        <f t="shared" si="2"/>
        <v>646.1213528</v>
      </c>
      <c r="G24" s="17">
        <f t="shared" si="3"/>
        <v>645.6130744</v>
      </c>
      <c r="H24" s="17">
        <f t="shared" si="4"/>
        <v>-50.82783445</v>
      </c>
      <c r="I24" s="17">
        <f t="shared" si="5"/>
        <v>631.9651591</v>
      </c>
      <c r="J24" s="17">
        <f t="shared" si="6"/>
        <v>-1415.619364</v>
      </c>
      <c r="K24" s="17">
        <f t="shared" si="7"/>
        <v>-50.83783445</v>
      </c>
      <c r="L24" s="17">
        <f t="shared" si="8"/>
        <v>-1423.459364</v>
      </c>
      <c r="M24" s="17">
        <f t="shared" si="9"/>
        <v>2.268718805</v>
      </c>
      <c r="N24" s="17">
        <f t="shared" si="10"/>
        <v>1.047726239</v>
      </c>
    </row>
    <row r="25" ht="15.75" customHeight="1">
      <c r="A25" s="14">
        <v>20.0</v>
      </c>
      <c r="B25" s="14">
        <v>70.0</v>
      </c>
      <c r="C25" s="18">
        <f t="shared" si="11"/>
        <v>1.047726239</v>
      </c>
      <c r="D25" s="18">
        <f t="shared" si="12"/>
        <v>2.268718805</v>
      </c>
      <c r="E25" s="18">
        <f t="shared" si="1"/>
        <v>46.42210234</v>
      </c>
      <c r="F25" s="17">
        <f t="shared" si="2"/>
        <v>555.917258</v>
      </c>
      <c r="G25" s="17">
        <f t="shared" si="3"/>
        <v>555.4458001</v>
      </c>
      <c r="H25" s="17">
        <f t="shared" si="4"/>
        <v>-47.14579532</v>
      </c>
      <c r="I25" s="17">
        <f t="shared" si="5"/>
        <v>546.526099</v>
      </c>
      <c r="J25" s="17">
        <f t="shared" si="6"/>
        <v>-939.1159064</v>
      </c>
      <c r="K25" s="17">
        <f t="shared" si="7"/>
        <v>-47.15579532</v>
      </c>
      <c r="L25" s="17">
        <f t="shared" si="8"/>
        <v>-943.1159064</v>
      </c>
      <c r="M25" s="17">
        <f t="shared" si="9"/>
        <v>2.363030396</v>
      </c>
      <c r="N25" s="17">
        <f t="shared" si="10"/>
        <v>1.052441819</v>
      </c>
    </row>
    <row r="26" ht="15.75" customHeight="1">
      <c r="A26" s="14">
        <v>8.0</v>
      </c>
      <c r="B26" s="14">
        <v>46.0</v>
      </c>
      <c r="C26" s="18">
        <f t="shared" si="11"/>
        <v>1.052441819</v>
      </c>
      <c r="D26" s="18">
        <f t="shared" si="12"/>
        <v>2.363030396</v>
      </c>
      <c r="E26" s="18">
        <f t="shared" si="1"/>
        <v>19.95668498</v>
      </c>
      <c r="F26" s="17">
        <f t="shared" si="2"/>
        <v>678.254257</v>
      </c>
      <c r="G26" s="17">
        <f t="shared" si="3"/>
        <v>677.7334907</v>
      </c>
      <c r="H26" s="17">
        <f t="shared" si="4"/>
        <v>-52.07663003</v>
      </c>
      <c r="I26" s="17">
        <f t="shared" si="5"/>
        <v>674.0937266</v>
      </c>
      <c r="J26" s="17">
        <f t="shared" si="6"/>
        <v>-416.0530403</v>
      </c>
      <c r="K26" s="17">
        <f t="shared" si="7"/>
        <v>-52.08663003</v>
      </c>
      <c r="L26" s="17">
        <f t="shared" si="8"/>
        <v>-416.6930403</v>
      </c>
      <c r="M26" s="17">
        <f t="shared" si="9"/>
        <v>2.4046997</v>
      </c>
      <c r="N26" s="17">
        <f t="shared" si="10"/>
        <v>1.057650482</v>
      </c>
    </row>
    <row r="27" ht="15.75" customHeight="1">
      <c r="A27" s="14">
        <v>64.0</v>
      </c>
      <c r="B27" s="14">
        <v>158.0</v>
      </c>
      <c r="C27" s="18">
        <f t="shared" si="11"/>
        <v>1.057650482</v>
      </c>
      <c r="D27" s="18">
        <f t="shared" si="12"/>
        <v>2.4046997</v>
      </c>
      <c r="E27" s="18">
        <f t="shared" si="1"/>
        <v>154.9584313</v>
      </c>
      <c r="F27" s="17">
        <f t="shared" si="2"/>
        <v>9.251140373</v>
      </c>
      <c r="G27" s="17">
        <f t="shared" si="3"/>
        <v>9.190408999</v>
      </c>
      <c r="H27" s="17">
        <f t="shared" si="4"/>
        <v>-6.073137471</v>
      </c>
      <c r="I27" s="17">
        <f t="shared" si="5"/>
        <v>5.767532392</v>
      </c>
      <c r="J27" s="17">
        <f t="shared" si="6"/>
        <v>-348.3607982</v>
      </c>
      <c r="K27" s="17">
        <f t="shared" si="7"/>
        <v>-6.083137471</v>
      </c>
      <c r="L27" s="17">
        <f t="shared" si="8"/>
        <v>-389.3207982</v>
      </c>
      <c r="M27" s="17">
        <f t="shared" si="9"/>
        <v>2.44363178</v>
      </c>
      <c r="N27" s="17">
        <f t="shared" si="10"/>
        <v>1.058258795</v>
      </c>
    </row>
    <row r="28" ht="15.75" customHeight="1">
      <c r="A28" s="14">
        <v>99.0</v>
      </c>
      <c r="B28" s="14">
        <v>228.0</v>
      </c>
      <c r="C28" s="18">
        <f t="shared" si="11"/>
        <v>1.058258795</v>
      </c>
      <c r="D28" s="18">
        <f t="shared" si="12"/>
        <v>2.44363178</v>
      </c>
      <c r="E28" s="18">
        <f t="shared" si="1"/>
        <v>242.977805</v>
      </c>
      <c r="F28" s="17">
        <f t="shared" si="2"/>
        <v>224.3346417</v>
      </c>
      <c r="G28" s="17">
        <f t="shared" si="3"/>
        <v>224.6342978</v>
      </c>
      <c r="H28" s="17">
        <f t="shared" si="4"/>
        <v>29.96560994</v>
      </c>
      <c r="I28" s="17">
        <f t="shared" si="5"/>
        <v>254.9707956</v>
      </c>
      <c r="J28" s="17">
        <f t="shared" si="6"/>
        <v>3063.615384</v>
      </c>
      <c r="K28" s="17">
        <f t="shared" si="7"/>
        <v>29.95560994</v>
      </c>
      <c r="L28" s="17">
        <f t="shared" si="8"/>
        <v>2965.605384</v>
      </c>
      <c r="M28" s="17">
        <f t="shared" si="9"/>
        <v>2.147071241</v>
      </c>
      <c r="N28" s="17">
        <f t="shared" si="10"/>
        <v>1.055263234</v>
      </c>
    </row>
    <row r="29" ht="15.75" customHeight="1">
      <c r="A29" s="14">
        <v>70.0</v>
      </c>
      <c r="B29" s="14">
        <v>170.0</v>
      </c>
      <c r="C29" s="18">
        <f t="shared" si="11"/>
        <v>1.055263234</v>
      </c>
      <c r="D29" s="18">
        <f t="shared" si="12"/>
        <v>2.147071241</v>
      </c>
      <c r="E29" s="18">
        <f t="shared" si="1"/>
        <v>151.3502501</v>
      </c>
      <c r="F29" s="17">
        <f t="shared" si="2"/>
        <v>347.8131708</v>
      </c>
      <c r="G29" s="17">
        <f t="shared" si="3"/>
        <v>347.4402758</v>
      </c>
      <c r="H29" s="17">
        <f t="shared" si="4"/>
        <v>-37.28949977</v>
      </c>
      <c r="I29" s="17">
        <f t="shared" si="5"/>
        <v>322.193521</v>
      </c>
      <c r="J29" s="17">
        <f t="shared" si="6"/>
        <v>-2561.964984</v>
      </c>
      <c r="K29" s="17">
        <f t="shared" si="7"/>
        <v>-37.29949977</v>
      </c>
      <c r="L29" s="17">
        <f t="shared" si="8"/>
        <v>-2610.964984</v>
      </c>
      <c r="M29" s="17">
        <f t="shared" si="9"/>
        <v>2.40816774</v>
      </c>
      <c r="N29" s="17">
        <f t="shared" si="10"/>
        <v>1.058993184</v>
      </c>
    </row>
    <row r="30" ht="15.75" customHeight="1">
      <c r="A30" s="14">
        <v>27.0</v>
      </c>
      <c r="B30" s="14">
        <v>84.0</v>
      </c>
      <c r="C30" s="18">
        <f t="shared" si="11"/>
        <v>1.058993184</v>
      </c>
      <c r="D30" s="18">
        <f t="shared" si="12"/>
        <v>2.40816774</v>
      </c>
      <c r="E30" s="18">
        <f t="shared" si="1"/>
        <v>66.07952215</v>
      </c>
      <c r="F30" s="17">
        <f t="shared" si="2"/>
        <v>321.1435263</v>
      </c>
      <c r="G30" s="17">
        <f t="shared" si="3"/>
        <v>320.7852167</v>
      </c>
      <c r="H30" s="17">
        <f t="shared" si="4"/>
        <v>-35.8309557</v>
      </c>
      <c r="I30" s="17">
        <f t="shared" si="5"/>
        <v>311.5393683</v>
      </c>
      <c r="J30" s="17">
        <f t="shared" si="6"/>
        <v>-960.4158038</v>
      </c>
      <c r="K30" s="17">
        <f t="shared" si="7"/>
        <v>-35.8409557</v>
      </c>
      <c r="L30" s="17">
        <f t="shared" si="8"/>
        <v>-967.7058038</v>
      </c>
      <c r="M30" s="17">
        <f t="shared" si="9"/>
        <v>2.50493832</v>
      </c>
      <c r="N30" s="17">
        <f t="shared" si="10"/>
        <v>1.06257728</v>
      </c>
    </row>
    <row r="31" ht="15.75" customHeight="1">
      <c r="A31" s="14">
        <v>17.0</v>
      </c>
      <c r="B31" s="14">
        <v>64.0</v>
      </c>
      <c r="C31" s="18">
        <f t="shared" si="11"/>
        <v>1.06257728</v>
      </c>
      <c r="D31" s="18">
        <f t="shared" si="12"/>
        <v>2.50493832</v>
      </c>
      <c r="E31" s="18">
        <f t="shared" si="1"/>
        <v>43.64652872</v>
      </c>
      <c r="F31" s="17">
        <f t="shared" si="2"/>
        <v>414.2637932</v>
      </c>
      <c r="G31" s="17">
        <f t="shared" si="3"/>
        <v>413.8568238</v>
      </c>
      <c r="H31" s="17">
        <f t="shared" si="4"/>
        <v>-40.69694256</v>
      </c>
      <c r="I31" s="17">
        <f t="shared" si="5"/>
        <v>407.372513</v>
      </c>
      <c r="J31" s="17">
        <f t="shared" si="6"/>
        <v>-689.1280236</v>
      </c>
      <c r="K31" s="17">
        <f t="shared" si="7"/>
        <v>-40.70694256</v>
      </c>
      <c r="L31" s="17">
        <f t="shared" si="8"/>
        <v>-692.0180236</v>
      </c>
      <c r="M31" s="17">
        <f t="shared" si="9"/>
        <v>2.574140122</v>
      </c>
      <c r="N31" s="17">
        <f t="shared" si="10"/>
        <v>1.066647974</v>
      </c>
    </row>
    <row r="32" ht="15.75" customHeight="1">
      <c r="A32" s="14">
        <v>8.0</v>
      </c>
      <c r="B32" s="14">
        <v>46.0</v>
      </c>
      <c r="C32" s="18">
        <f t="shared" si="11"/>
        <v>1.066647974</v>
      </c>
      <c r="D32" s="18">
        <f t="shared" si="12"/>
        <v>2.574140122</v>
      </c>
      <c r="E32" s="18">
        <f t="shared" si="1"/>
        <v>21.65976895</v>
      </c>
      <c r="F32" s="17">
        <f t="shared" si="2"/>
        <v>592.4468474</v>
      </c>
      <c r="G32" s="17">
        <f t="shared" si="3"/>
        <v>591.9601428</v>
      </c>
      <c r="H32" s="17">
        <f t="shared" si="4"/>
        <v>-48.6704621</v>
      </c>
      <c r="I32" s="17">
        <f t="shared" si="5"/>
        <v>588.5588105</v>
      </c>
      <c r="J32" s="17">
        <f t="shared" si="6"/>
        <v>-388.8036968</v>
      </c>
      <c r="K32" s="17">
        <f t="shared" si="7"/>
        <v>-48.6804621</v>
      </c>
      <c r="L32" s="17">
        <f t="shared" si="8"/>
        <v>-389.4436968</v>
      </c>
      <c r="M32" s="17">
        <f t="shared" si="9"/>
        <v>2.613084492</v>
      </c>
      <c r="N32" s="17">
        <f t="shared" si="10"/>
        <v>1.07151602</v>
      </c>
    </row>
    <row r="33" ht="15.75" customHeight="1">
      <c r="E33" s="14" t="s">
        <v>52</v>
      </c>
      <c r="F33" s="17">
        <f>SQRT(SUM(F4:F32))</f>
        <v>150.7552115</v>
      </c>
      <c r="K33" s="17">
        <f t="shared" ref="K33:L33" si="13">SQRT(SUMSQ(K4:K32))</f>
        <v>301.5104231</v>
      </c>
      <c r="L33" s="17">
        <f t="shared" si="13"/>
        <v>20791.83106</v>
      </c>
    </row>
    <row r="34" ht="15.75" customHeight="1"/>
    <row r="35" ht="15.75" customHeight="1"/>
    <row r="36" ht="15.75" customHeight="1">
      <c r="C36" s="14" t="s">
        <v>53</v>
      </c>
    </row>
    <row r="37" ht="15.75" customHeight="1">
      <c r="C37" s="14" t="s">
        <v>52</v>
      </c>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momentum">
    <pageSetUpPr/>
  </sheetPr>
  <sheetViews>
    <sheetView workbookViewId="0">
      <pane xSplit="3.0" ySplit="3.0" topLeftCell="D4" activePane="bottomRight" state="frozen"/>
      <selection activeCell="D1" sqref="D1" pane="topRight"/>
      <selection activeCell="A4" sqref="A4" pane="bottomLeft"/>
      <selection activeCell="D4" sqref="D4" pane="bottomRight"/>
    </sheetView>
  </sheetViews>
  <sheetFormatPr customHeight="1" defaultColWidth="14.43" defaultRowHeight="15.0"/>
  <cols>
    <col customWidth="1" min="1" max="3" width="8.86"/>
    <col customWidth="1" min="4" max="4" width="10.86"/>
    <col customWidth="1" min="5" max="5" width="9.14"/>
    <col customWidth="1" min="6" max="6" width="10.86"/>
    <col customWidth="1" min="7" max="7" width="10.14"/>
    <col customWidth="1" min="8" max="8" width="8.29"/>
    <col customWidth="1" min="9" max="9" width="13.57"/>
    <col customWidth="1" min="10" max="10" width="18.71"/>
    <col customWidth="1" min="11" max="11" width="15.43"/>
    <col customWidth="1" min="12" max="12" width="19.71"/>
    <col customWidth="1" min="13" max="26" width="8.86"/>
  </cols>
  <sheetData>
    <row r="1">
      <c r="B1" s="14" t="s">
        <v>31</v>
      </c>
      <c r="C1" s="19">
        <v>1.0</v>
      </c>
      <c r="D1" s="20" t="s">
        <v>38</v>
      </c>
      <c r="E1" s="20"/>
      <c r="F1" s="21"/>
      <c r="G1" s="21"/>
      <c r="I1" s="14" t="s">
        <v>54</v>
      </c>
      <c r="J1" s="14">
        <v>0.9</v>
      </c>
      <c r="K1" s="14">
        <f>1-J1</f>
        <v>0.1</v>
      </c>
    </row>
    <row r="2">
      <c r="B2" s="14" t="s">
        <v>33</v>
      </c>
      <c r="C2" s="19">
        <v>1.0</v>
      </c>
      <c r="D2" s="14">
        <v>1.0E-4</v>
      </c>
      <c r="E2" s="20"/>
      <c r="F2" s="22"/>
      <c r="G2" s="22"/>
    </row>
    <row r="3">
      <c r="A3" s="15" t="s">
        <v>35</v>
      </c>
      <c r="B3" s="15" t="s">
        <v>36</v>
      </c>
      <c r="C3" s="23" t="s">
        <v>31</v>
      </c>
      <c r="D3" s="23" t="s">
        <v>33</v>
      </c>
      <c r="E3" s="23" t="s">
        <v>55</v>
      </c>
      <c r="F3" s="24" t="s">
        <v>48</v>
      </c>
      <c r="G3" s="24" t="s">
        <v>49</v>
      </c>
      <c r="H3" s="15" t="s">
        <v>51</v>
      </c>
      <c r="I3" s="15" t="s">
        <v>50</v>
      </c>
      <c r="J3" s="14">
        <f t="shared" ref="J3:K3" si="1">J33</f>
        <v>-18.33392669</v>
      </c>
      <c r="K3" s="14">
        <f t="shared" si="1"/>
        <v>98.24583039</v>
      </c>
      <c r="L3" s="15" t="s">
        <v>43</v>
      </c>
      <c r="N3" s="15"/>
      <c r="O3" s="15"/>
      <c r="P3" s="15"/>
      <c r="Q3" s="15"/>
      <c r="R3" s="15"/>
      <c r="S3" s="15"/>
      <c r="T3" s="15"/>
      <c r="U3" s="15"/>
      <c r="V3" s="15"/>
      <c r="W3" s="15"/>
      <c r="X3" s="15"/>
      <c r="Y3" s="15"/>
      <c r="Z3" s="15"/>
    </row>
    <row r="4">
      <c r="A4" s="14">
        <v>14.0</v>
      </c>
      <c r="B4" s="14">
        <v>58.0</v>
      </c>
      <c r="C4" s="20">
        <f>C1</f>
        <v>1</v>
      </c>
      <c r="D4" s="20">
        <f>C2</f>
        <v>1</v>
      </c>
      <c r="E4" s="20">
        <f t="shared" ref="E4:E32" si="5">C4+D4*A4</f>
        <v>15</v>
      </c>
      <c r="F4" s="21">
        <f t="shared" ref="F4:F32" si="6">2*(D4*A4+C4-B4)</f>
        <v>-86</v>
      </c>
      <c r="G4" s="21">
        <f t="shared" ref="G4:G32" si="7">F4*A4</f>
        <v>-1204</v>
      </c>
      <c r="H4" s="17">
        <f t="shared" ref="H4:I4" si="2">C4-J4*$D$2</f>
        <v>1.002510053</v>
      </c>
      <c r="I4" s="17">
        <f t="shared" si="2"/>
        <v>1.003197875</v>
      </c>
      <c r="J4" s="14">
        <f t="shared" ref="J4:K4" si="3">J3*$J$1+$K$1*F4</f>
        <v>-25.10053402</v>
      </c>
      <c r="K4" s="14">
        <f t="shared" si="3"/>
        <v>-31.97875265</v>
      </c>
      <c r="L4" s="14">
        <f t="shared" ref="L4:L32" si="10">(B4-E4)^2</f>
        <v>1849</v>
      </c>
    </row>
    <row r="5">
      <c r="A5" s="14">
        <v>86.0</v>
      </c>
      <c r="B5" s="14">
        <v>202.0</v>
      </c>
      <c r="C5" s="20">
        <f t="shared" ref="C5:D5" si="4">H4</f>
        <v>1.002510053</v>
      </c>
      <c r="D5" s="20">
        <f t="shared" si="4"/>
        <v>1.003197875</v>
      </c>
      <c r="E5" s="20">
        <f t="shared" si="5"/>
        <v>87.27752733</v>
      </c>
      <c r="F5" s="21">
        <f t="shared" si="6"/>
        <v>-229.4449453</v>
      </c>
      <c r="G5" s="21">
        <f t="shared" si="7"/>
        <v>-19732.2653</v>
      </c>
      <c r="H5" s="17">
        <f t="shared" ref="H5:I5" si="8">C5-J5*$D$2</f>
        <v>1.007063551</v>
      </c>
      <c r="I5" s="17">
        <f t="shared" si="8"/>
        <v>1.203398616</v>
      </c>
      <c r="J5" s="14">
        <f t="shared" ref="J5:K5" si="9">J4*$J$1+$K$1*F5</f>
        <v>-45.53497515</v>
      </c>
      <c r="K5" s="14">
        <f t="shared" si="9"/>
        <v>-2002.007407</v>
      </c>
      <c r="L5" s="14">
        <f t="shared" si="10"/>
        <v>13161.24574</v>
      </c>
    </row>
    <row r="6">
      <c r="A6" s="14">
        <v>28.0</v>
      </c>
      <c r="B6" s="14">
        <v>86.0</v>
      </c>
      <c r="C6" s="20">
        <f t="shared" ref="C6:D6" si="11">H5</f>
        <v>1.007063551</v>
      </c>
      <c r="D6" s="20">
        <f t="shared" si="11"/>
        <v>1.203398616</v>
      </c>
      <c r="E6" s="20">
        <f t="shared" si="5"/>
        <v>34.7022248</v>
      </c>
      <c r="F6" s="21">
        <f t="shared" si="6"/>
        <v>-102.5955504</v>
      </c>
      <c r="G6" s="21">
        <f t="shared" si="7"/>
        <v>-2872.675411</v>
      </c>
      <c r="H6" s="17">
        <f t="shared" ref="H6:I6" si="12">C6-J6*$D$2</f>
        <v>1.012187654</v>
      </c>
      <c r="I6" s="17">
        <f t="shared" si="12"/>
        <v>1.412306037</v>
      </c>
      <c r="J6" s="14">
        <f t="shared" ref="J6:K6" si="13">J5*$J$1+$K$1*F6</f>
        <v>-51.24103268</v>
      </c>
      <c r="K6" s="14">
        <f t="shared" si="13"/>
        <v>-2089.074208</v>
      </c>
      <c r="L6" s="14">
        <f t="shared" si="10"/>
        <v>2631.461741</v>
      </c>
    </row>
    <row r="7">
      <c r="A7" s="14">
        <v>51.0</v>
      </c>
      <c r="B7" s="14">
        <v>132.0</v>
      </c>
      <c r="C7" s="20">
        <f t="shared" ref="C7:D7" si="14">H6</f>
        <v>1.012187654</v>
      </c>
      <c r="D7" s="20">
        <f t="shared" si="14"/>
        <v>1.412306037</v>
      </c>
      <c r="E7" s="20">
        <f t="shared" si="5"/>
        <v>73.03979553</v>
      </c>
      <c r="F7" s="21">
        <f t="shared" si="6"/>
        <v>-117.9204089</v>
      </c>
      <c r="G7" s="21">
        <f t="shared" si="7"/>
        <v>-6013.940856</v>
      </c>
      <c r="H7" s="17">
        <f t="shared" ref="H7:I7" si="15">C7-J7*$D$2</f>
        <v>1.017978551</v>
      </c>
      <c r="I7" s="17">
        <f t="shared" si="15"/>
        <v>1.660462124</v>
      </c>
      <c r="J7" s="14">
        <f t="shared" ref="J7:K7" si="16">J6*$J$1+$K$1*F7</f>
        <v>-57.9089703</v>
      </c>
      <c r="K7" s="14">
        <f t="shared" si="16"/>
        <v>-2481.560873</v>
      </c>
      <c r="L7" s="14">
        <f t="shared" si="10"/>
        <v>3476.305711</v>
      </c>
    </row>
    <row r="8">
      <c r="A8" s="14">
        <v>28.0</v>
      </c>
      <c r="B8" s="14">
        <v>86.0</v>
      </c>
      <c r="C8" s="20">
        <f t="shared" ref="C8:D8" si="17">H7</f>
        <v>1.017978551</v>
      </c>
      <c r="D8" s="20">
        <f t="shared" si="17"/>
        <v>1.660462124</v>
      </c>
      <c r="E8" s="20">
        <f t="shared" si="5"/>
        <v>47.51091802</v>
      </c>
      <c r="F8" s="21">
        <f t="shared" si="6"/>
        <v>-76.97816395</v>
      </c>
      <c r="G8" s="21">
        <f t="shared" si="7"/>
        <v>-2155.388591</v>
      </c>
      <c r="H8" s="17">
        <f t="shared" ref="H8:I8" si="18">C8-J8*$D$2</f>
        <v>1.02396014</v>
      </c>
      <c r="I8" s="17">
        <f t="shared" si="18"/>
        <v>1.905356488</v>
      </c>
      <c r="J8" s="14">
        <f t="shared" ref="J8:K8" si="19">J7*$J$1+$K$1*F8</f>
        <v>-59.81588967</v>
      </c>
      <c r="K8" s="14">
        <f t="shared" si="19"/>
        <v>-2448.943644</v>
      </c>
      <c r="L8" s="14">
        <f t="shared" si="10"/>
        <v>1481.409431</v>
      </c>
    </row>
    <row r="9">
      <c r="A9" s="14">
        <v>29.0</v>
      </c>
      <c r="B9" s="14">
        <v>88.0</v>
      </c>
      <c r="C9" s="20">
        <f t="shared" ref="C9:D9" si="20">H8</f>
        <v>1.02396014</v>
      </c>
      <c r="D9" s="20">
        <f t="shared" si="20"/>
        <v>1.905356488</v>
      </c>
      <c r="E9" s="20">
        <f t="shared" si="5"/>
        <v>56.27929831</v>
      </c>
      <c r="F9" s="21">
        <f t="shared" si="6"/>
        <v>-63.44140339</v>
      </c>
      <c r="G9" s="21">
        <f t="shared" si="7"/>
        <v>-1839.800698</v>
      </c>
      <c r="H9" s="17">
        <f t="shared" ref="H9:I9" si="21">C9-J9*$D$2</f>
        <v>1.029977984</v>
      </c>
      <c r="I9" s="17">
        <f t="shared" si="21"/>
        <v>2.144159423</v>
      </c>
      <c r="J9" s="14">
        <f t="shared" ref="J9:K9" si="22">J8*$J$1+$K$1*F9</f>
        <v>-60.17844104</v>
      </c>
      <c r="K9" s="14">
        <f t="shared" si="22"/>
        <v>-2388.02935</v>
      </c>
      <c r="L9" s="14">
        <f t="shared" si="10"/>
        <v>1006.202916</v>
      </c>
    </row>
    <row r="10">
      <c r="A10" s="14">
        <v>72.0</v>
      </c>
      <c r="B10" s="14">
        <v>174.0</v>
      </c>
      <c r="C10" s="20">
        <f t="shared" ref="C10:D10" si="23">H9</f>
        <v>1.029977984</v>
      </c>
      <c r="D10" s="20">
        <f t="shared" si="23"/>
        <v>2.144159423</v>
      </c>
      <c r="E10" s="20">
        <f t="shared" si="5"/>
        <v>155.4094565</v>
      </c>
      <c r="F10" s="21">
        <f t="shared" si="6"/>
        <v>-37.18108705</v>
      </c>
      <c r="G10" s="21">
        <f t="shared" si="7"/>
        <v>-2677.038268</v>
      </c>
      <c r="H10" s="17">
        <f t="shared" ref="H10:I10" si="24">C10-J10*$D$2</f>
        <v>1.035765855</v>
      </c>
      <c r="I10" s="17">
        <f t="shared" si="24"/>
        <v>2.385852448</v>
      </c>
      <c r="J10" s="14">
        <f t="shared" ref="J10:K10" si="25">J9*$J$1+$K$1*F10</f>
        <v>-57.87870564</v>
      </c>
      <c r="K10" s="14">
        <f t="shared" si="25"/>
        <v>-2416.930242</v>
      </c>
      <c r="L10" s="14">
        <f t="shared" si="10"/>
        <v>345.6083086</v>
      </c>
    </row>
    <row r="11">
      <c r="A11" s="14">
        <v>62.0</v>
      </c>
      <c r="B11" s="14">
        <v>154.0</v>
      </c>
      <c r="C11" s="20">
        <f t="shared" ref="C11:D11" si="26">H10</f>
        <v>1.035765855</v>
      </c>
      <c r="D11" s="20">
        <f t="shared" si="26"/>
        <v>2.385852448</v>
      </c>
      <c r="E11" s="20">
        <f t="shared" si="5"/>
        <v>148.9586176</v>
      </c>
      <c r="F11" s="21">
        <f t="shared" si="6"/>
        <v>-10.08276479</v>
      </c>
      <c r="G11" s="21">
        <f t="shared" si="7"/>
        <v>-625.1314168</v>
      </c>
      <c r="H11" s="17">
        <f t="shared" ref="H11:I11" si="27">C11-J11*$D$2</f>
        <v>1.041075766</v>
      </c>
      <c r="I11" s="17">
        <f t="shared" si="27"/>
        <v>2.609627484</v>
      </c>
      <c r="J11" s="14">
        <f t="shared" ref="J11:K11" si="28">J10*$J$1+$K$1*F11</f>
        <v>-53.09911156</v>
      </c>
      <c r="K11" s="14">
        <f t="shared" si="28"/>
        <v>-2237.750359</v>
      </c>
      <c r="L11" s="14">
        <f t="shared" si="10"/>
        <v>25.41553644</v>
      </c>
    </row>
    <row r="12">
      <c r="A12" s="14">
        <v>84.0</v>
      </c>
      <c r="B12" s="14">
        <v>198.0</v>
      </c>
      <c r="C12" s="20">
        <f t="shared" ref="C12:D12" si="29">H11</f>
        <v>1.041075766</v>
      </c>
      <c r="D12" s="20">
        <f t="shared" si="29"/>
        <v>2.609627484</v>
      </c>
      <c r="E12" s="20">
        <f t="shared" si="5"/>
        <v>220.2497844</v>
      </c>
      <c r="F12" s="21">
        <f t="shared" si="6"/>
        <v>44.49956876</v>
      </c>
      <c r="G12" s="21">
        <f t="shared" si="7"/>
        <v>3737.963776</v>
      </c>
      <c r="H12" s="17">
        <f t="shared" ref="H12:I12" si="30">C12-J12*$D$2</f>
        <v>1.04540969</v>
      </c>
      <c r="I12" s="17">
        <f t="shared" si="30"/>
        <v>2.773645378</v>
      </c>
      <c r="J12" s="14">
        <f t="shared" ref="J12:K12" si="31">J11*$J$1+$K$1*F12</f>
        <v>-43.33924352</v>
      </c>
      <c r="K12" s="14">
        <f t="shared" si="31"/>
        <v>-1640.178946</v>
      </c>
      <c r="L12" s="14">
        <f t="shared" si="10"/>
        <v>495.052905</v>
      </c>
    </row>
    <row r="13">
      <c r="A13" s="14">
        <v>15.0</v>
      </c>
      <c r="B13" s="14">
        <v>60.0</v>
      </c>
      <c r="C13" s="20">
        <f t="shared" ref="C13:D13" si="32">H12</f>
        <v>1.04540969</v>
      </c>
      <c r="D13" s="20">
        <f t="shared" si="32"/>
        <v>2.773645378</v>
      </c>
      <c r="E13" s="20">
        <f t="shared" si="5"/>
        <v>42.65009036</v>
      </c>
      <c r="F13" s="21">
        <f t="shared" si="6"/>
        <v>-34.69981928</v>
      </c>
      <c r="G13" s="21">
        <f t="shared" si="7"/>
        <v>-520.4972892</v>
      </c>
      <c r="H13" s="17">
        <f t="shared" ref="H13:I13" si="33">C13-J13*$D$2</f>
        <v>1.04965722</v>
      </c>
      <c r="I13" s="17">
        <f t="shared" si="33"/>
        <v>2.926466456</v>
      </c>
      <c r="J13" s="14">
        <f t="shared" ref="J13:K13" si="34">J12*$J$1+$K$1*F13</f>
        <v>-42.4753011</v>
      </c>
      <c r="K13" s="14">
        <f t="shared" si="34"/>
        <v>-1528.21078</v>
      </c>
      <c r="L13" s="14">
        <f t="shared" si="10"/>
        <v>301.0193645</v>
      </c>
    </row>
    <row r="14">
      <c r="A14" s="14">
        <v>42.0</v>
      </c>
      <c r="B14" s="14">
        <v>114.0</v>
      </c>
      <c r="C14" s="20">
        <f t="shared" ref="C14:D14" si="35">H13</f>
        <v>1.04965722</v>
      </c>
      <c r="D14" s="20">
        <f t="shared" si="35"/>
        <v>2.926466456</v>
      </c>
      <c r="E14" s="20">
        <f t="shared" si="5"/>
        <v>123.9612484</v>
      </c>
      <c r="F14" s="21">
        <f t="shared" si="6"/>
        <v>19.92249675</v>
      </c>
      <c r="G14" s="21">
        <f t="shared" si="7"/>
        <v>836.7448635</v>
      </c>
      <c r="H14" s="17">
        <f t="shared" ref="H14:I14" si="36">C14-J14*$D$2</f>
        <v>1.053280773</v>
      </c>
      <c r="I14" s="17">
        <f t="shared" si="36"/>
        <v>3.055637978</v>
      </c>
      <c r="J14" s="14">
        <f t="shared" ref="J14:K14" si="37">J13*$J$1+$K$1*F14</f>
        <v>-36.23552132</v>
      </c>
      <c r="K14" s="14">
        <f t="shared" si="37"/>
        <v>-1291.715216</v>
      </c>
      <c r="L14" s="14">
        <f t="shared" si="10"/>
        <v>99.2264692</v>
      </c>
    </row>
    <row r="15">
      <c r="A15" s="14">
        <v>62.0</v>
      </c>
      <c r="B15" s="14">
        <v>154.0</v>
      </c>
      <c r="C15" s="20">
        <f t="shared" ref="C15:D15" si="38">H14</f>
        <v>1.053280773</v>
      </c>
      <c r="D15" s="20">
        <f t="shared" si="38"/>
        <v>3.055637978</v>
      </c>
      <c r="E15" s="20">
        <f t="shared" si="5"/>
        <v>190.5028354</v>
      </c>
      <c r="F15" s="21">
        <f t="shared" si="6"/>
        <v>73.00567077</v>
      </c>
      <c r="G15" s="21">
        <f t="shared" si="7"/>
        <v>4526.351588</v>
      </c>
      <c r="H15" s="17">
        <f t="shared" ref="H15:I15" si="39">C15-J15*$D$2</f>
        <v>1.055811913</v>
      </c>
      <c r="I15" s="17">
        <f t="shared" si="39"/>
        <v>3.126628831</v>
      </c>
      <c r="J15" s="14">
        <f t="shared" ref="J15:K15" si="40">J14*$J$1+$K$1*F15</f>
        <v>-25.31140211</v>
      </c>
      <c r="K15" s="14">
        <f t="shared" si="40"/>
        <v>-709.9085352</v>
      </c>
      <c r="L15" s="14">
        <f t="shared" si="10"/>
        <v>1332.456991</v>
      </c>
    </row>
    <row r="16">
      <c r="A16" s="14">
        <v>47.0</v>
      </c>
      <c r="B16" s="14">
        <v>124.0</v>
      </c>
      <c r="C16" s="20">
        <f t="shared" ref="C16:D16" si="41">H15</f>
        <v>1.055811913</v>
      </c>
      <c r="D16" s="20">
        <f t="shared" si="41"/>
        <v>3.126628831</v>
      </c>
      <c r="E16" s="20">
        <f t="shared" si="5"/>
        <v>148.007367</v>
      </c>
      <c r="F16" s="21">
        <f t="shared" si="6"/>
        <v>48.01473395</v>
      </c>
      <c r="G16" s="21">
        <f t="shared" si="7"/>
        <v>2256.692496</v>
      </c>
      <c r="H16" s="17">
        <f t="shared" ref="H16:I16" si="42">C16-J16*$D$2</f>
        <v>1.057609792</v>
      </c>
      <c r="I16" s="17">
        <f t="shared" si="42"/>
        <v>3.167953674</v>
      </c>
      <c r="J16" s="14">
        <f t="shared" ref="J16:K16" si="43">J15*$J$1+$K$1*F16</f>
        <v>-17.9787885</v>
      </c>
      <c r="K16" s="14">
        <f t="shared" si="43"/>
        <v>-413.2484321</v>
      </c>
      <c r="L16" s="14">
        <f t="shared" si="10"/>
        <v>576.3536692</v>
      </c>
    </row>
    <row r="17">
      <c r="A17" s="14">
        <v>35.0</v>
      </c>
      <c r="B17" s="14">
        <v>100.0</v>
      </c>
      <c r="C17" s="20">
        <f t="shared" ref="C17:D17" si="44">H16</f>
        <v>1.057609792</v>
      </c>
      <c r="D17" s="20">
        <f t="shared" si="44"/>
        <v>3.167953674</v>
      </c>
      <c r="E17" s="20">
        <f t="shared" si="5"/>
        <v>111.9359884</v>
      </c>
      <c r="F17" s="21">
        <f t="shared" si="6"/>
        <v>23.87197679</v>
      </c>
      <c r="G17" s="21">
        <f t="shared" si="7"/>
        <v>835.5191876</v>
      </c>
      <c r="H17" s="17">
        <f t="shared" ref="H17:I17" si="45">C17-J17*$D$2</f>
        <v>1.058989163</v>
      </c>
      <c r="I17" s="17">
        <f t="shared" si="45"/>
        <v>3.196790841</v>
      </c>
      <c r="J17" s="14">
        <f t="shared" ref="J17:K17" si="46">J16*$J$1+$K$1*F17</f>
        <v>-13.79371197</v>
      </c>
      <c r="K17" s="14">
        <f t="shared" si="46"/>
        <v>-288.3716702</v>
      </c>
      <c r="L17" s="14">
        <f t="shared" si="10"/>
        <v>142.467819</v>
      </c>
    </row>
    <row r="18">
      <c r="A18" s="14">
        <v>9.0</v>
      </c>
      <c r="B18" s="14">
        <v>48.0</v>
      </c>
      <c r="C18" s="20">
        <f t="shared" ref="C18:D18" si="47">H17</f>
        <v>1.058989163</v>
      </c>
      <c r="D18" s="20">
        <f t="shared" si="47"/>
        <v>3.196790841</v>
      </c>
      <c r="E18" s="20">
        <f t="shared" si="5"/>
        <v>29.83010674</v>
      </c>
      <c r="F18" s="21">
        <f t="shared" si="6"/>
        <v>-36.33978653</v>
      </c>
      <c r="G18" s="21">
        <f t="shared" si="7"/>
        <v>-327.0580788</v>
      </c>
      <c r="H18" s="17">
        <f t="shared" ref="H18:I18" si="48">C18-J18*$D$2</f>
        <v>1.060593995</v>
      </c>
      <c r="I18" s="17">
        <f t="shared" si="48"/>
        <v>3.226014872</v>
      </c>
      <c r="J18" s="14">
        <f t="shared" ref="J18:K18" si="49">J17*$J$1+$K$1*F18</f>
        <v>-16.04831943</v>
      </c>
      <c r="K18" s="14">
        <f t="shared" si="49"/>
        <v>-292.240311</v>
      </c>
      <c r="L18" s="14">
        <f t="shared" si="10"/>
        <v>330.1450212</v>
      </c>
    </row>
    <row r="19">
      <c r="A19" s="14">
        <v>38.0</v>
      </c>
      <c r="B19" s="14">
        <v>106.0</v>
      </c>
      <c r="C19" s="20">
        <f t="shared" ref="C19:D19" si="50">H18</f>
        <v>1.060593995</v>
      </c>
      <c r="D19" s="20">
        <f t="shared" si="50"/>
        <v>3.226014872</v>
      </c>
      <c r="E19" s="20">
        <f t="shared" si="5"/>
        <v>123.6491591</v>
      </c>
      <c r="F19" s="21">
        <f t="shared" si="6"/>
        <v>35.2983183</v>
      </c>
      <c r="G19" s="21">
        <f t="shared" si="7"/>
        <v>1341.336095</v>
      </c>
      <c r="H19" s="17">
        <f t="shared" ref="H19:I19" si="51">C19-J19*$D$2</f>
        <v>1.06168536</v>
      </c>
      <c r="I19" s="17">
        <f t="shared" si="51"/>
        <v>3.23890314</v>
      </c>
      <c r="J19" s="14">
        <f t="shared" ref="J19:K19" si="52">J18*$J$1+$K$1*F19</f>
        <v>-10.91365565</v>
      </c>
      <c r="K19" s="14">
        <f t="shared" si="52"/>
        <v>-128.8826704</v>
      </c>
      <c r="L19" s="14">
        <f t="shared" si="10"/>
        <v>311.4928187</v>
      </c>
    </row>
    <row r="20">
      <c r="A20" s="14">
        <v>44.0</v>
      </c>
      <c r="B20" s="14">
        <v>118.0</v>
      </c>
      <c r="C20" s="20">
        <f t="shared" ref="C20:D20" si="53">H19</f>
        <v>1.06168536</v>
      </c>
      <c r="D20" s="20">
        <f t="shared" si="53"/>
        <v>3.23890314</v>
      </c>
      <c r="E20" s="20">
        <f t="shared" si="5"/>
        <v>143.5734235</v>
      </c>
      <c r="F20" s="21">
        <f t="shared" si="6"/>
        <v>51.146847</v>
      </c>
      <c r="G20" s="21">
        <f t="shared" si="7"/>
        <v>2250.461268</v>
      </c>
      <c r="H20" s="17">
        <f t="shared" ref="H20:I20" si="54">C20-J20*$D$2</f>
        <v>1.062156121</v>
      </c>
      <c r="I20" s="17">
        <f t="shared" si="54"/>
        <v>3.227997967</v>
      </c>
      <c r="J20" s="14">
        <f t="shared" ref="J20:K20" si="55">J19*$J$1+$K$1*F20</f>
        <v>-4.707605389</v>
      </c>
      <c r="K20" s="14">
        <f t="shared" si="55"/>
        <v>109.0517235</v>
      </c>
      <c r="L20" s="14">
        <f t="shared" si="10"/>
        <v>653.9999895</v>
      </c>
    </row>
    <row r="21" ht="15.75" customHeight="1">
      <c r="A21" s="14">
        <v>99.0</v>
      </c>
      <c r="B21" s="14">
        <v>228.0</v>
      </c>
      <c r="C21" s="20">
        <f t="shared" ref="C21:D21" si="56">H20</f>
        <v>1.062156121</v>
      </c>
      <c r="D21" s="20">
        <f t="shared" si="56"/>
        <v>3.227997967</v>
      </c>
      <c r="E21" s="20">
        <f t="shared" si="5"/>
        <v>320.6339549</v>
      </c>
      <c r="F21" s="21">
        <f t="shared" si="6"/>
        <v>185.2679097</v>
      </c>
      <c r="G21" s="21">
        <f t="shared" si="7"/>
        <v>18341.52306</v>
      </c>
      <c r="H21" s="17">
        <f t="shared" ref="H21:I21" si="57">C21-J21*$D$2</f>
        <v>1.060727126</v>
      </c>
      <c r="I21" s="17">
        <f t="shared" si="57"/>
        <v>3.034768081</v>
      </c>
      <c r="J21" s="14">
        <f t="shared" ref="J21:K21" si="58">J20*$J$1+$K$1*F21</f>
        <v>14.28994612</v>
      </c>
      <c r="K21" s="14">
        <f t="shared" si="58"/>
        <v>1932.298858</v>
      </c>
      <c r="L21" s="14">
        <f t="shared" si="10"/>
        <v>8581.049595</v>
      </c>
    </row>
    <row r="22" ht="15.75" customHeight="1">
      <c r="A22" s="14">
        <v>13.0</v>
      </c>
      <c r="B22" s="14">
        <v>56.0</v>
      </c>
      <c r="C22" s="20">
        <f t="shared" ref="C22:D22" si="59">H21</f>
        <v>1.060727126</v>
      </c>
      <c r="D22" s="20">
        <f t="shared" si="59"/>
        <v>3.034768081</v>
      </c>
      <c r="E22" s="20">
        <f t="shared" si="5"/>
        <v>40.51271218</v>
      </c>
      <c r="F22" s="21">
        <f t="shared" si="6"/>
        <v>-30.97457563</v>
      </c>
      <c r="G22" s="21">
        <f t="shared" si="7"/>
        <v>-402.6694832</v>
      </c>
      <c r="H22" s="17">
        <f t="shared" ref="H22:I22" si="60">C22-J22*$D$2</f>
        <v>1.059750777</v>
      </c>
      <c r="I22" s="17">
        <f t="shared" si="60"/>
        <v>2.864887879</v>
      </c>
      <c r="J22" s="14">
        <f t="shared" ref="J22:K22" si="61">J21*$J$1+$K$1*F22</f>
        <v>9.763493949</v>
      </c>
      <c r="K22" s="14">
        <f t="shared" si="61"/>
        <v>1698.802023</v>
      </c>
      <c r="L22" s="14">
        <f t="shared" si="10"/>
        <v>239.8560839</v>
      </c>
    </row>
    <row r="23" ht="15.75" customHeight="1">
      <c r="A23" s="14">
        <v>21.0</v>
      </c>
      <c r="B23" s="14">
        <v>72.0</v>
      </c>
      <c r="C23" s="20">
        <f t="shared" ref="C23:D23" si="62">H22</f>
        <v>1.059750777</v>
      </c>
      <c r="D23" s="20">
        <f t="shared" si="62"/>
        <v>2.864887879</v>
      </c>
      <c r="E23" s="20">
        <f t="shared" si="5"/>
        <v>61.22239624</v>
      </c>
      <c r="F23" s="21">
        <f t="shared" si="6"/>
        <v>-21.55520753</v>
      </c>
      <c r="G23" s="21">
        <f t="shared" si="7"/>
        <v>-452.659358</v>
      </c>
      <c r="H23" s="17">
        <f t="shared" ref="H23:I23" si="63">C23-J23*$D$2</f>
        <v>1.059087615</v>
      </c>
      <c r="I23" s="17">
        <f t="shared" si="63"/>
        <v>2.716522291</v>
      </c>
      <c r="J23" s="14">
        <f t="shared" ref="J23:K23" si="64">J22*$J$1+$K$1*F23</f>
        <v>6.631623801</v>
      </c>
      <c r="K23" s="14">
        <f t="shared" si="64"/>
        <v>1483.655885</v>
      </c>
      <c r="L23" s="14">
        <f t="shared" si="10"/>
        <v>116.1567429</v>
      </c>
    </row>
    <row r="24" ht="15.75" customHeight="1">
      <c r="A24" s="14">
        <v>28.0</v>
      </c>
      <c r="B24" s="14">
        <v>86.0</v>
      </c>
      <c r="C24" s="20">
        <f t="shared" ref="C24:D24" si="65">H23</f>
        <v>1.059087615</v>
      </c>
      <c r="D24" s="20">
        <f t="shared" si="65"/>
        <v>2.716522291</v>
      </c>
      <c r="E24" s="20">
        <f t="shared" si="5"/>
        <v>77.12171175</v>
      </c>
      <c r="F24" s="21">
        <f t="shared" si="6"/>
        <v>-17.7565765</v>
      </c>
      <c r="G24" s="21">
        <f t="shared" si="7"/>
        <v>-497.184142</v>
      </c>
      <c r="H24" s="17">
        <f t="shared" ref="H24:I24" si="66">C24-J24*$D$2</f>
        <v>1.058668334</v>
      </c>
      <c r="I24" s="17">
        <f t="shared" si="66"/>
        <v>2.587965102</v>
      </c>
      <c r="J24" s="14">
        <f t="shared" ref="J24:K24" si="67">J23*$J$1+$K$1*F24</f>
        <v>4.192803771</v>
      </c>
      <c r="K24" s="14">
        <f t="shared" si="67"/>
        <v>1285.571883</v>
      </c>
      <c r="L24" s="14">
        <f t="shared" si="10"/>
        <v>78.82400226</v>
      </c>
    </row>
    <row r="25" ht="15.75" customHeight="1">
      <c r="A25" s="14">
        <v>20.0</v>
      </c>
      <c r="B25" s="14">
        <v>70.0</v>
      </c>
      <c r="C25" s="20">
        <f t="shared" ref="C25:D25" si="68">H24</f>
        <v>1.058668334</v>
      </c>
      <c r="D25" s="20">
        <f t="shared" si="68"/>
        <v>2.587965102</v>
      </c>
      <c r="E25" s="20">
        <f t="shared" si="5"/>
        <v>52.81797038</v>
      </c>
      <c r="F25" s="21">
        <f t="shared" si="6"/>
        <v>-34.36405924</v>
      </c>
      <c r="G25" s="21">
        <f t="shared" si="7"/>
        <v>-687.2811848</v>
      </c>
      <c r="H25" s="17">
        <f t="shared" ref="H25:I25" si="69">C25-J25*$D$2</f>
        <v>1.058634622</v>
      </c>
      <c r="I25" s="17">
        <f t="shared" si="69"/>
        <v>2.479136445</v>
      </c>
      <c r="J25" s="14">
        <f t="shared" ref="J25:K25" si="70">J24*$J$1+$K$1*F25</f>
        <v>0.3371174699</v>
      </c>
      <c r="K25" s="14">
        <f t="shared" si="70"/>
        <v>1088.286576</v>
      </c>
      <c r="L25" s="14">
        <f t="shared" si="10"/>
        <v>295.2221419</v>
      </c>
    </row>
    <row r="26" ht="15.75" customHeight="1">
      <c r="A26" s="14">
        <v>8.0</v>
      </c>
      <c r="B26" s="14">
        <v>46.0</v>
      </c>
      <c r="C26" s="20">
        <f t="shared" ref="C26:D26" si="71">H25</f>
        <v>1.058634622</v>
      </c>
      <c r="D26" s="20">
        <f t="shared" si="71"/>
        <v>2.479136445</v>
      </c>
      <c r="E26" s="20">
        <f t="shared" si="5"/>
        <v>20.89172618</v>
      </c>
      <c r="F26" s="21">
        <f t="shared" si="6"/>
        <v>-50.21654764</v>
      </c>
      <c r="G26" s="21">
        <f t="shared" si="7"/>
        <v>-401.7323811</v>
      </c>
      <c r="H26" s="17">
        <f t="shared" ref="H26:I26" si="72">C26-J26*$D$2</f>
        <v>1.059106447</v>
      </c>
      <c r="I26" s="17">
        <f t="shared" si="72"/>
        <v>2.385207977</v>
      </c>
      <c r="J26" s="14">
        <f t="shared" ref="J26:K26" si="73">J25*$J$1+$K$1*F26</f>
        <v>-4.718249041</v>
      </c>
      <c r="K26" s="14">
        <f t="shared" si="73"/>
        <v>939.2846802</v>
      </c>
      <c r="L26" s="14">
        <f t="shared" si="10"/>
        <v>630.4254142</v>
      </c>
    </row>
    <row r="27" ht="15.75" customHeight="1">
      <c r="A27" s="14">
        <v>64.0</v>
      </c>
      <c r="B27" s="14">
        <v>158.0</v>
      </c>
      <c r="C27" s="20">
        <f t="shared" ref="C27:D27" si="74">H26</f>
        <v>1.059106447</v>
      </c>
      <c r="D27" s="20">
        <f t="shared" si="74"/>
        <v>2.385207977</v>
      </c>
      <c r="E27" s="20">
        <f t="shared" si="5"/>
        <v>153.712417</v>
      </c>
      <c r="F27" s="21">
        <f t="shared" si="6"/>
        <v>-8.575166091</v>
      </c>
      <c r="G27" s="21">
        <f t="shared" si="7"/>
        <v>-548.8106298</v>
      </c>
      <c r="H27" s="17">
        <f t="shared" ref="H27:I27" si="75">C27-J27*$D$2</f>
        <v>1.059616841</v>
      </c>
      <c r="I27" s="17">
        <f t="shared" si="75"/>
        <v>2.306160462</v>
      </c>
      <c r="J27" s="14">
        <f t="shared" ref="J27:K27" si="76">J26*$J$1+$K$1*F27</f>
        <v>-5.103940746</v>
      </c>
      <c r="K27" s="14">
        <f t="shared" si="76"/>
        <v>790.4751492</v>
      </c>
      <c r="L27" s="14">
        <f t="shared" si="10"/>
        <v>18.38336837</v>
      </c>
    </row>
    <row r="28" ht="15.75" customHeight="1">
      <c r="A28" s="14">
        <v>99.0</v>
      </c>
      <c r="B28" s="14">
        <v>228.0</v>
      </c>
      <c r="C28" s="20">
        <f t="shared" ref="C28:D28" si="77">H27</f>
        <v>1.059616841</v>
      </c>
      <c r="D28" s="20">
        <f t="shared" si="77"/>
        <v>2.306160462</v>
      </c>
      <c r="E28" s="20">
        <f t="shared" si="5"/>
        <v>229.3695026</v>
      </c>
      <c r="F28" s="21">
        <f t="shared" si="6"/>
        <v>2.739005111</v>
      </c>
      <c r="G28" s="21">
        <f t="shared" si="7"/>
        <v>271.161506</v>
      </c>
      <c r="H28" s="17">
        <f t="shared" ref="H28:I28" si="78">C28-J28*$D$2</f>
        <v>1.060048806</v>
      </c>
      <c r="I28" s="17">
        <f t="shared" si="78"/>
        <v>2.232306083</v>
      </c>
      <c r="J28" s="14">
        <f t="shared" ref="J28:K28" si="79">J27*$J$1+$K$1*F28</f>
        <v>-4.31964616</v>
      </c>
      <c r="K28" s="14">
        <f t="shared" si="79"/>
        <v>738.5437849</v>
      </c>
      <c r="L28" s="14">
        <f t="shared" si="10"/>
        <v>1.87553725</v>
      </c>
    </row>
    <row r="29" ht="15.75" customHeight="1">
      <c r="A29" s="14">
        <v>70.0</v>
      </c>
      <c r="B29" s="14">
        <v>170.0</v>
      </c>
      <c r="C29" s="20">
        <f t="shared" ref="C29:D29" si="80">H28</f>
        <v>1.060048806</v>
      </c>
      <c r="D29" s="20">
        <f t="shared" si="80"/>
        <v>2.232306083</v>
      </c>
      <c r="E29" s="20">
        <f t="shared" si="5"/>
        <v>157.3214746</v>
      </c>
      <c r="F29" s="21">
        <f t="shared" si="6"/>
        <v>-25.35705073</v>
      </c>
      <c r="G29" s="21">
        <f t="shared" si="7"/>
        <v>-1774.993551</v>
      </c>
      <c r="H29" s="17">
        <f t="shared" ref="H29:I29" si="81">C29-J29*$D$2</f>
        <v>1.060691145</v>
      </c>
      <c r="I29" s="17">
        <f t="shared" si="81"/>
        <v>2.183587078</v>
      </c>
      <c r="J29" s="14">
        <f t="shared" ref="J29:K29" si="82">J28*$J$1+$K$1*F29</f>
        <v>-6.423386617</v>
      </c>
      <c r="K29" s="14">
        <f t="shared" si="82"/>
        <v>487.1900513</v>
      </c>
      <c r="L29" s="14">
        <f t="shared" si="10"/>
        <v>160.7450054</v>
      </c>
    </row>
    <row r="30" ht="15.75" customHeight="1">
      <c r="A30" s="14">
        <v>27.0</v>
      </c>
      <c r="B30" s="14">
        <v>84.0</v>
      </c>
      <c r="C30" s="20">
        <f t="shared" ref="C30:D30" si="83">H29</f>
        <v>1.060691145</v>
      </c>
      <c r="D30" s="20">
        <f t="shared" si="83"/>
        <v>2.183587078</v>
      </c>
      <c r="E30" s="20">
        <f t="shared" si="5"/>
        <v>60.01754225</v>
      </c>
      <c r="F30" s="21">
        <f t="shared" si="6"/>
        <v>-47.96491549</v>
      </c>
      <c r="G30" s="21">
        <f t="shared" si="7"/>
        <v>-1295.052718</v>
      </c>
      <c r="H30" s="17">
        <f t="shared" ref="H30:I30" si="84">C30-J30*$D$2</f>
        <v>1.061748899</v>
      </c>
      <c r="I30" s="17">
        <f t="shared" si="84"/>
        <v>2.152690501</v>
      </c>
      <c r="J30" s="14">
        <f t="shared" ref="J30:K30" si="85">J29*$J$1+$K$1*F30</f>
        <v>-10.5775395</v>
      </c>
      <c r="K30" s="14">
        <f t="shared" si="85"/>
        <v>308.9657743</v>
      </c>
      <c r="L30" s="14">
        <f t="shared" si="10"/>
        <v>575.1582795</v>
      </c>
    </row>
    <row r="31" ht="15.75" customHeight="1">
      <c r="A31" s="14">
        <v>17.0</v>
      </c>
      <c r="B31" s="14">
        <v>64.0</v>
      </c>
      <c r="C31" s="20">
        <f t="shared" ref="C31:D31" si="86">H30</f>
        <v>1.061748899</v>
      </c>
      <c r="D31" s="20">
        <f t="shared" si="86"/>
        <v>2.152690501</v>
      </c>
      <c r="E31" s="20">
        <f t="shared" si="5"/>
        <v>37.65748741</v>
      </c>
      <c r="F31" s="21">
        <f t="shared" si="6"/>
        <v>-52.68502518</v>
      </c>
      <c r="G31" s="21">
        <f t="shared" si="7"/>
        <v>-895.645428</v>
      </c>
      <c r="H31" s="17">
        <f t="shared" ref="H31:I31" si="87">C31-J31*$D$2</f>
        <v>1.063227727</v>
      </c>
      <c r="I31" s="17">
        <f t="shared" si="87"/>
        <v>2.133840035</v>
      </c>
      <c r="J31" s="14">
        <f t="shared" ref="J31:K31" si="88">J30*$J$1+$K$1*F31</f>
        <v>-14.78828807</v>
      </c>
      <c r="K31" s="14">
        <f t="shared" si="88"/>
        <v>188.5046541</v>
      </c>
      <c r="L31" s="14">
        <f t="shared" si="10"/>
        <v>693.9279695</v>
      </c>
    </row>
    <row r="32" ht="15.75" customHeight="1">
      <c r="A32" s="14">
        <v>8.0</v>
      </c>
      <c r="B32" s="14">
        <v>46.0</v>
      </c>
      <c r="C32" s="20">
        <f t="shared" ref="C32:D32" si="89">H31</f>
        <v>1.063227727</v>
      </c>
      <c r="D32" s="20">
        <f t="shared" si="89"/>
        <v>2.133840035</v>
      </c>
      <c r="E32" s="20">
        <f t="shared" si="5"/>
        <v>18.13394801</v>
      </c>
      <c r="F32" s="21">
        <f t="shared" si="6"/>
        <v>-55.73210398</v>
      </c>
      <c r="G32" s="21">
        <f t="shared" si="7"/>
        <v>-445.8568318</v>
      </c>
      <c r="H32" s="17">
        <f t="shared" ref="H32:I32" si="90">C32-J32*$D$2</f>
        <v>1.065115994</v>
      </c>
      <c r="I32" s="17">
        <f t="shared" si="90"/>
        <v>2.121333185</v>
      </c>
      <c r="J32" s="14">
        <f t="shared" ref="J32:K32" si="91">J31*$J$1+$K$1*F32</f>
        <v>-18.88266966</v>
      </c>
      <c r="K32" s="14">
        <f t="shared" si="91"/>
        <v>125.0685055</v>
      </c>
      <c r="L32" s="14">
        <f t="shared" si="10"/>
        <v>776.5168535</v>
      </c>
    </row>
    <row r="33" ht="15.75" customHeight="1">
      <c r="A33" s="21"/>
      <c r="B33" s="21"/>
      <c r="C33" s="20"/>
      <c r="D33" s="20"/>
      <c r="E33" s="20"/>
      <c r="F33" s="21"/>
      <c r="G33" s="21"/>
      <c r="H33" s="17"/>
      <c r="J33" s="14">
        <v>-18.33392669020789</v>
      </c>
      <c r="K33" s="14">
        <v>98.24583039212854</v>
      </c>
      <c r="L33" s="14">
        <f>SQRT(SUM(L4:L32))</f>
        <v>200.9651846</v>
      </c>
      <c r="M33" s="25"/>
    </row>
    <row r="34" ht="15.75" customHeight="1">
      <c r="C34" s="20"/>
      <c r="D34" s="20"/>
      <c r="E34" s="20"/>
      <c r="F34" s="21"/>
      <c r="G34" s="21"/>
    </row>
    <row r="35" ht="15.75" customHeight="1">
      <c r="C35" s="20"/>
      <c r="D35" s="20"/>
      <c r="E35" s="20"/>
      <c r="F35" s="21"/>
      <c r="G35" s="21"/>
    </row>
    <row r="36" ht="15.75" customHeight="1">
      <c r="C36" s="20"/>
      <c r="D36" s="20"/>
      <c r="E36" s="20"/>
      <c r="F36" s="21"/>
      <c r="G36" s="21"/>
    </row>
    <row r="37" ht="15.75" customHeight="1">
      <c r="C37" s="20"/>
      <c r="D37" s="20"/>
      <c r="E37" s="20"/>
      <c r="F37" s="21"/>
      <c r="G37" s="21"/>
    </row>
    <row r="38" ht="15.75" customHeight="1">
      <c r="C38" s="20"/>
      <c r="D38" s="20"/>
      <c r="E38" s="20"/>
      <c r="F38" s="21"/>
      <c r="G38" s="21"/>
    </row>
    <row r="39" ht="15.75" customHeight="1">
      <c r="C39" s="20"/>
      <c r="D39" s="20"/>
      <c r="E39" s="20"/>
      <c r="F39" s="21"/>
      <c r="G39" s="21"/>
    </row>
    <row r="40" ht="15.75" customHeight="1">
      <c r="C40" s="20"/>
      <c r="D40" s="20"/>
      <c r="E40" s="20"/>
      <c r="F40" s="21"/>
      <c r="G40" s="21"/>
    </row>
    <row r="41" ht="15.75" customHeight="1">
      <c r="C41" s="20"/>
      <c r="D41" s="20"/>
      <c r="E41" s="20"/>
      <c r="F41" s="21"/>
      <c r="G41" s="21"/>
    </row>
    <row r="42" ht="15.75" customHeight="1">
      <c r="C42" s="20"/>
      <c r="D42" s="20"/>
      <c r="E42" s="20"/>
      <c r="F42" s="21"/>
      <c r="G42" s="21"/>
    </row>
    <row r="43" ht="15.75" customHeight="1">
      <c r="C43" s="20"/>
      <c r="D43" s="20"/>
      <c r="E43" s="20"/>
      <c r="F43" s="21"/>
      <c r="G43" s="21"/>
    </row>
    <row r="44" ht="15.75" customHeight="1">
      <c r="C44" s="20"/>
      <c r="D44" s="20"/>
      <c r="E44" s="20"/>
      <c r="F44" s="21"/>
      <c r="G44" s="21"/>
    </row>
    <row r="45" ht="15.75" customHeight="1">
      <c r="C45" s="20"/>
      <c r="D45" s="20"/>
      <c r="E45" s="20"/>
      <c r="F45" s="21"/>
      <c r="G45" s="21"/>
    </row>
    <row r="46" ht="15.75" customHeight="1">
      <c r="C46" s="20"/>
      <c r="D46" s="20"/>
      <c r="E46" s="20"/>
      <c r="F46" s="21"/>
      <c r="G46" s="21"/>
    </row>
    <row r="47" ht="15.75" customHeight="1">
      <c r="C47" s="20"/>
      <c r="D47" s="20"/>
      <c r="E47" s="20"/>
      <c r="F47" s="21"/>
      <c r="G47" s="21"/>
    </row>
    <row r="48" ht="15.75" customHeight="1">
      <c r="C48" s="20"/>
      <c r="D48" s="20"/>
      <c r="E48" s="20"/>
      <c r="F48" s="21"/>
      <c r="G48" s="21"/>
    </row>
    <row r="49" ht="15.75" customHeight="1">
      <c r="C49" s="20"/>
      <c r="D49" s="20"/>
      <c r="E49" s="20"/>
      <c r="F49" s="21"/>
      <c r="G49" s="21"/>
    </row>
    <row r="50" ht="15.75" customHeight="1">
      <c r="C50" s="20"/>
      <c r="D50" s="20"/>
      <c r="E50" s="20"/>
      <c r="F50" s="21"/>
      <c r="G50" s="21"/>
    </row>
    <row r="51" ht="15.75" customHeight="1">
      <c r="C51" s="20"/>
      <c r="D51" s="20"/>
      <c r="E51" s="20"/>
      <c r="F51" s="21"/>
      <c r="G51" s="21"/>
    </row>
    <row r="52" ht="15.75" customHeight="1">
      <c r="C52" s="20"/>
      <c r="D52" s="20"/>
      <c r="E52" s="20"/>
      <c r="F52" s="21"/>
      <c r="G52" s="21"/>
    </row>
    <row r="53" ht="15.75" customHeight="1">
      <c r="C53" s="20"/>
      <c r="D53" s="20"/>
      <c r="E53" s="20"/>
      <c r="F53" s="21"/>
      <c r="G53" s="21"/>
    </row>
    <row r="54" ht="15.75" customHeight="1">
      <c r="C54" s="20"/>
      <c r="D54" s="20"/>
      <c r="E54" s="20"/>
      <c r="F54" s="21"/>
      <c r="G54" s="21"/>
    </row>
    <row r="55" ht="15.75" customHeight="1">
      <c r="C55" s="20"/>
      <c r="D55" s="20"/>
      <c r="E55" s="20"/>
      <c r="F55" s="21"/>
      <c r="G55" s="21"/>
    </row>
    <row r="56" ht="15.75" customHeight="1">
      <c r="C56" s="20"/>
      <c r="D56" s="20"/>
      <c r="E56" s="20"/>
      <c r="F56" s="21"/>
      <c r="G56" s="21"/>
    </row>
    <row r="57" ht="15.75" customHeight="1">
      <c r="C57" s="20"/>
      <c r="D57" s="20"/>
      <c r="E57" s="20"/>
      <c r="F57" s="21"/>
      <c r="G57" s="21"/>
    </row>
    <row r="58" ht="15.75" customHeight="1">
      <c r="C58" s="20"/>
      <c r="D58" s="20"/>
      <c r="E58" s="20"/>
      <c r="F58" s="21"/>
      <c r="G58" s="21"/>
    </row>
    <row r="59" ht="15.75" customHeight="1">
      <c r="C59" s="20"/>
      <c r="D59" s="20"/>
      <c r="E59" s="20"/>
      <c r="F59" s="21"/>
      <c r="G59" s="21"/>
    </row>
    <row r="60" ht="15.75" customHeight="1">
      <c r="C60" s="20"/>
      <c r="D60" s="20"/>
      <c r="E60" s="20"/>
      <c r="F60" s="21"/>
      <c r="G60" s="21"/>
    </row>
    <row r="61" ht="15.75" customHeight="1">
      <c r="C61" s="20"/>
      <c r="D61" s="20"/>
      <c r="E61" s="20"/>
      <c r="F61" s="21"/>
      <c r="G61" s="21"/>
    </row>
    <row r="62" ht="15.75" customHeight="1">
      <c r="C62" s="20"/>
      <c r="D62" s="20"/>
      <c r="E62" s="20"/>
      <c r="F62" s="21"/>
      <c r="G62" s="21"/>
    </row>
    <row r="63" ht="15.75" customHeight="1">
      <c r="C63" s="20"/>
      <c r="D63" s="20"/>
      <c r="E63" s="20"/>
      <c r="F63" s="21"/>
      <c r="G63" s="21"/>
    </row>
    <row r="64" ht="15.75" customHeight="1">
      <c r="C64" s="20"/>
      <c r="D64" s="20"/>
      <c r="E64" s="20"/>
      <c r="F64" s="21"/>
      <c r="G64" s="21"/>
    </row>
    <row r="65" ht="15.75" customHeight="1">
      <c r="C65" s="20"/>
      <c r="D65" s="20"/>
      <c r="E65" s="20"/>
      <c r="F65" s="21"/>
      <c r="G65" s="21"/>
    </row>
    <row r="66" ht="15.75" customHeight="1">
      <c r="C66" s="20"/>
      <c r="D66" s="20"/>
      <c r="E66" s="20"/>
      <c r="F66" s="21"/>
      <c r="G66" s="21"/>
    </row>
    <row r="67" ht="15.75" customHeight="1">
      <c r="C67" s="20"/>
      <c r="D67" s="20"/>
      <c r="E67" s="20"/>
      <c r="F67" s="21"/>
      <c r="G67" s="21"/>
    </row>
    <row r="68" ht="15.75" customHeight="1">
      <c r="C68" s="20"/>
      <c r="D68" s="20"/>
      <c r="E68" s="20"/>
      <c r="F68" s="21"/>
      <c r="G68" s="21"/>
    </row>
    <row r="69" ht="15.75" customHeight="1">
      <c r="C69" s="20"/>
      <c r="D69" s="20"/>
      <c r="E69" s="20"/>
      <c r="F69" s="21"/>
      <c r="G69" s="21"/>
    </row>
    <row r="70" ht="15.75" customHeight="1">
      <c r="C70" s="20"/>
      <c r="D70" s="20"/>
      <c r="E70" s="20"/>
      <c r="F70" s="21"/>
      <c r="G70" s="21"/>
    </row>
    <row r="71" ht="15.75" customHeight="1">
      <c r="C71" s="20"/>
      <c r="D71" s="20"/>
      <c r="E71" s="20"/>
      <c r="F71" s="21"/>
      <c r="G71" s="21"/>
    </row>
    <row r="72" ht="15.75" customHeight="1">
      <c r="C72" s="20"/>
      <c r="D72" s="20"/>
      <c r="E72" s="20"/>
      <c r="F72" s="21"/>
      <c r="G72" s="21"/>
    </row>
    <row r="73" ht="15.75" customHeight="1">
      <c r="C73" s="20"/>
      <c r="D73" s="20"/>
      <c r="E73" s="20"/>
      <c r="F73" s="21"/>
      <c r="G73" s="21"/>
    </row>
    <row r="74" ht="15.75" customHeight="1">
      <c r="C74" s="20"/>
      <c r="D74" s="20"/>
      <c r="E74" s="20"/>
      <c r="F74" s="21"/>
      <c r="G74" s="21"/>
    </row>
    <row r="75" ht="15.75" customHeight="1">
      <c r="C75" s="20"/>
      <c r="D75" s="20"/>
      <c r="E75" s="20"/>
      <c r="F75" s="21"/>
      <c r="G75" s="21"/>
    </row>
    <row r="76" ht="15.75" customHeight="1">
      <c r="C76" s="20"/>
      <c r="D76" s="20"/>
      <c r="E76" s="20"/>
      <c r="F76" s="21"/>
      <c r="G76" s="21"/>
    </row>
    <row r="77" ht="15.75" customHeight="1">
      <c r="C77" s="20"/>
      <c r="D77" s="20"/>
      <c r="E77" s="20"/>
      <c r="F77" s="21"/>
      <c r="G77" s="21"/>
    </row>
    <row r="78" ht="15.75" customHeight="1">
      <c r="C78" s="20"/>
      <c r="D78" s="20"/>
      <c r="E78" s="20"/>
      <c r="F78" s="21"/>
      <c r="G78" s="21"/>
    </row>
    <row r="79" ht="15.75" customHeight="1">
      <c r="C79" s="20"/>
      <c r="D79" s="20"/>
      <c r="E79" s="20"/>
      <c r="F79" s="21"/>
      <c r="G79" s="21"/>
    </row>
    <row r="80" ht="15.75" customHeight="1">
      <c r="C80" s="20"/>
      <c r="D80" s="20"/>
      <c r="E80" s="20"/>
      <c r="F80" s="21"/>
      <c r="G80" s="21"/>
    </row>
    <row r="81" ht="15.75" customHeight="1">
      <c r="C81" s="20"/>
      <c r="D81" s="20"/>
      <c r="E81" s="20"/>
      <c r="F81" s="21"/>
      <c r="G81" s="21"/>
    </row>
    <row r="82" ht="15.75" customHeight="1">
      <c r="C82" s="20"/>
      <c r="D82" s="20"/>
      <c r="E82" s="20"/>
      <c r="F82" s="21"/>
      <c r="G82" s="21"/>
    </row>
    <row r="83" ht="15.75" customHeight="1">
      <c r="C83" s="20"/>
      <c r="D83" s="20"/>
      <c r="E83" s="20"/>
      <c r="F83" s="21"/>
      <c r="G83" s="21"/>
    </row>
    <row r="84" ht="15.75" customHeight="1">
      <c r="C84" s="20"/>
      <c r="D84" s="20"/>
      <c r="E84" s="20"/>
      <c r="F84" s="21"/>
      <c r="G84" s="21"/>
    </row>
    <row r="85" ht="15.75" customHeight="1">
      <c r="C85" s="20"/>
      <c r="D85" s="20"/>
      <c r="E85" s="20"/>
      <c r="F85" s="21"/>
      <c r="G85" s="21"/>
    </row>
    <row r="86" ht="15.75" customHeight="1">
      <c r="C86" s="20"/>
      <c r="D86" s="20"/>
      <c r="E86" s="20"/>
      <c r="F86" s="21"/>
      <c r="G86" s="21"/>
    </row>
    <row r="87" ht="15.75" customHeight="1">
      <c r="C87" s="20"/>
      <c r="D87" s="20"/>
      <c r="E87" s="20"/>
      <c r="F87" s="21"/>
      <c r="G87" s="21"/>
    </row>
    <row r="88" ht="15.75" customHeight="1">
      <c r="C88" s="20"/>
      <c r="D88" s="20"/>
      <c r="E88" s="20"/>
      <c r="F88" s="21"/>
      <c r="G88" s="21"/>
    </row>
    <row r="89" ht="15.75" customHeight="1">
      <c r="C89" s="20"/>
      <c r="D89" s="20"/>
      <c r="E89" s="20"/>
      <c r="F89" s="21"/>
      <c r="G89" s="21"/>
    </row>
    <row r="90" ht="15.75" customHeight="1">
      <c r="C90" s="20"/>
      <c r="D90" s="20"/>
      <c r="E90" s="20"/>
      <c r="F90" s="21"/>
      <c r="G90" s="21"/>
    </row>
    <row r="91" ht="15.75" customHeight="1">
      <c r="C91" s="20"/>
      <c r="D91" s="20"/>
      <c r="E91" s="20"/>
      <c r="F91" s="21"/>
      <c r="G91" s="21"/>
    </row>
    <row r="92" ht="15.75" customHeight="1">
      <c r="C92" s="20"/>
      <c r="D92" s="20"/>
      <c r="E92" s="20"/>
      <c r="F92" s="21"/>
      <c r="G92" s="21"/>
    </row>
    <row r="93" ht="15.75" customHeight="1">
      <c r="C93" s="20"/>
      <c r="D93" s="20"/>
      <c r="E93" s="20"/>
      <c r="F93" s="21"/>
      <c r="G93" s="21"/>
    </row>
    <row r="94" ht="15.75" customHeight="1">
      <c r="C94" s="20"/>
      <c r="D94" s="20"/>
      <c r="E94" s="20"/>
      <c r="F94" s="21"/>
      <c r="G94" s="21"/>
    </row>
    <row r="95" ht="15.75" customHeight="1">
      <c r="C95" s="20"/>
      <c r="D95" s="20"/>
      <c r="E95" s="20"/>
      <c r="F95" s="21"/>
      <c r="G95" s="21"/>
    </row>
    <row r="96" ht="15.75" customHeight="1">
      <c r="C96" s="20"/>
      <c r="D96" s="20"/>
      <c r="E96" s="20"/>
      <c r="F96" s="21"/>
      <c r="G96" s="21"/>
    </row>
    <row r="97" ht="15.75" customHeight="1">
      <c r="C97" s="20"/>
      <c r="D97" s="20"/>
      <c r="E97" s="20"/>
      <c r="F97" s="21"/>
      <c r="G97" s="21"/>
    </row>
    <row r="98" ht="15.75" customHeight="1">
      <c r="C98" s="20"/>
      <c r="D98" s="20"/>
      <c r="E98" s="20"/>
      <c r="F98" s="21"/>
      <c r="G98" s="21"/>
    </row>
    <row r="99" ht="15.75" customHeight="1">
      <c r="C99" s="20"/>
      <c r="D99" s="20"/>
      <c r="E99" s="20"/>
      <c r="F99" s="21"/>
      <c r="G99" s="21"/>
    </row>
    <row r="100" ht="15.75" customHeight="1">
      <c r="C100" s="20"/>
      <c r="D100" s="20"/>
      <c r="E100" s="20"/>
      <c r="F100" s="21"/>
      <c r="G100" s="21"/>
    </row>
    <row r="101" ht="15.75" customHeight="1">
      <c r="C101" s="20"/>
      <c r="D101" s="20"/>
      <c r="E101" s="20"/>
      <c r="F101" s="21"/>
      <c r="G101" s="21"/>
    </row>
    <row r="102" ht="15.75" customHeight="1">
      <c r="C102" s="20"/>
      <c r="D102" s="20"/>
      <c r="E102" s="20"/>
      <c r="F102" s="21"/>
      <c r="G102" s="21"/>
    </row>
    <row r="103" ht="15.75" customHeight="1">
      <c r="C103" s="20"/>
      <c r="D103" s="20"/>
      <c r="E103" s="20"/>
      <c r="F103" s="21"/>
      <c r="G103" s="21"/>
    </row>
    <row r="104" ht="15.75" customHeight="1">
      <c r="C104" s="20"/>
      <c r="D104" s="20"/>
      <c r="E104" s="20"/>
      <c r="F104" s="21"/>
      <c r="G104" s="21"/>
    </row>
    <row r="105" ht="15.75" customHeight="1">
      <c r="C105" s="20"/>
      <c r="D105" s="20"/>
      <c r="E105" s="20"/>
      <c r="F105" s="21"/>
      <c r="G105" s="21"/>
    </row>
    <row r="106" ht="15.75" customHeight="1">
      <c r="C106" s="20"/>
      <c r="D106" s="20"/>
      <c r="E106" s="20"/>
      <c r="F106" s="21"/>
      <c r="G106" s="21"/>
    </row>
    <row r="107" ht="15.75" customHeight="1">
      <c r="C107" s="20"/>
      <c r="D107" s="20"/>
      <c r="E107" s="20"/>
      <c r="F107" s="21"/>
      <c r="G107" s="21"/>
    </row>
    <row r="108" ht="15.75" customHeight="1">
      <c r="C108" s="20"/>
      <c r="D108" s="20"/>
      <c r="E108" s="20"/>
      <c r="F108" s="21"/>
      <c r="G108" s="21"/>
    </row>
    <row r="109" ht="15.75" customHeight="1">
      <c r="C109" s="20"/>
      <c r="D109" s="20"/>
      <c r="E109" s="20"/>
      <c r="F109" s="21"/>
      <c r="G109" s="21"/>
    </row>
    <row r="110" ht="15.75" customHeight="1">
      <c r="C110" s="20"/>
      <c r="D110" s="20"/>
      <c r="E110" s="20"/>
      <c r="F110" s="21"/>
      <c r="G110" s="21"/>
    </row>
    <row r="111" ht="15.75" customHeight="1">
      <c r="C111" s="20"/>
      <c r="D111" s="20"/>
      <c r="E111" s="20"/>
      <c r="F111" s="21"/>
      <c r="G111" s="21"/>
    </row>
    <row r="112" ht="15.75" customHeight="1">
      <c r="C112" s="20"/>
      <c r="D112" s="20"/>
      <c r="E112" s="20"/>
      <c r="F112" s="21"/>
      <c r="G112" s="21"/>
    </row>
    <row r="113" ht="15.75" customHeight="1">
      <c r="C113" s="20"/>
      <c r="D113" s="20"/>
      <c r="E113" s="20"/>
      <c r="F113" s="21"/>
      <c r="G113" s="21"/>
    </row>
    <row r="114" ht="15.75" customHeight="1">
      <c r="C114" s="20"/>
      <c r="D114" s="20"/>
      <c r="E114" s="20"/>
      <c r="F114" s="21"/>
      <c r="G114" s="21"/>
    </row>
    <row r="115" ht="15.75" customHeight="1">
      <c r="C115" s="20"/>
      <c r="D115" s="20"/>
      <c r="E115" s="20"/>
      <c r="F115" s="21"/>
      <c r="G115" s="21"/>
    </row>
    <row r="116" ht="15.75" customHeight="1">
      <c r="C116" s="20"/>
      <c r="D116" s="20"/>
      <c r="E116" s="20"/>
      <c r="F116" s="21"/>
      <c r="G116" s="21"/>
    </row>
    <row r="117" ht="15.75" customHeight="1">
      <c r="C117" s="20"/>
      <c r="D117" s="20"/>
      <c r="E117" s="20"/>
      <c r="F117" s="21"/>
      <c r="G117" s="21"/>
    </row>
    <row r="118" ht="15.75" customHeight="1">
      <c r="C118" s="20"/>
      <c r="D118" s="20"/>
      <c r="E118" s="20"/>
      <c r="F118" s="21"/>
      <c r="G118" s="21"/>
    </row>
    <row r="119" ht="15.75" customHeight="1">
      <c r="C119" s="20"/>
      <c r="D119" s="20"/>
      <c r="E119" s="20"/>
      <c r="F119" s="21"/>
      <c r="G119" s="21"/>
    </row>
    <row r="120" ht="15.75" customHeight="1">
      <c r="C120" s="20"/>
      <c r="D120" s="20"/>
      <c r="E120" s="20"/>
      <c r="F120" s="21"/>
      <c r="G120" s="21"/>
    </row>
    <row r="121" ht="15.75" customHeight="1">
      <c r="C121" s="20"/>
      <c r="D121" s="20"/>
      <c r="E121" s="20"/>
      <c r="F121" s="21"/>
      <c r="G121" s="21"/>
    </row>
    <row r="122" ht="15.75" customHeight="1">
      <c r="C122" s="20"/>
      <c r="D122" s="20"/>
      <c r="E122" s="20"/>
      <c r="F122" s="21"/>
      <c r="G122" s="21"/>
    </row>
    <row r="123" ht="15.75" customHeight="1">
      <c r="C123" s="20"/>
      <c r="D123" s="20"/>
      <c r="E123" s="20"/>
      <c r="F123" s="21"/>
      <c r="G123" s="21"/>
    </row>
    <row r="124" ht="15.75" customHeight="1">
      <c r="C124" s="20"/>
      <c r="D124" s="20"/>
      <c r="E124" s="20"/>
      <c r="F124" s="21"/>
      <c r="G124" s="21"/>
    </row>
    <row r="125" ht="15.75" customHeight="1">
      <c r="C125" s="20"/>
      <c r="D125" s="20"/>
      <c r="E125" s="20"/>
      <c r="F125" s="21"/>
      <c r="G125" s="21"/>
    </row>
    <row r="126" ht="15.75" customHeight="1">
      <c r="C126" s="20"/>
      <c r="D126" s="20"/>
      <c r="E126" s="20"/>
      <c r="F126" s="21"/>
      <c r="G126" s="21"/>
    </row>
    <row r="127" ht="15.75" customHeight="1">
      <c r="C127" s="20"/>
      <c r="D127" s="20"/>
      <c r="E127" s="20"/>
      <c r="F127" s="21"/>
      <c r="G127" s="21"/>
    </row>
    <row r="128" ht="15.75" customHeight="1">
      <c r="C128" s="20"/>
      <c r="D128" s="20"/>
      <c r="E128" s="20"/>
      <c r="F128" s="21"/>
      <c r="G128" s="21"/>
    </row>
    <row r="129" ht="15.75" customHeight="1">
      <c r="C129" s="20"/>
      <c r="D129" s="20"/>
      <c r="E129" s="20"/>
      <c r="F129" s="21"/>
      <c r="G129" s="21"/>
    </row>
    <row r="130" ht="15.75" customHeight="1">
      <c r="C130" s="20"/>
      <c r="D130" s="20"/>
      <c r="E130" s="20"/>
      <c r="F130" s="21"/>
      <c r="G130" s="21"/>
    </row>
    <row r="131" ht="15.75" customHeight="1">
      <c r="C131" s="20"/>
      <c r="D131" s="20"/>
      <c r="E131" s="20"/>
      <c r="F131" s="21"/>
      <c r="G131" s="21"/>
    </row>
    <row r="132" ht="15.75" customHeight="1">
      <c r="C132" s="20"/>
      <c r="D132" s="20"/>
      <c r="E132" s="20"/>
      <c r="F132" s="21"/>
      <c r="G132" s="21"/>
    </row>
    <row r="133" ht="15.75" customHeight="1">
      <c r="C133" s="20"/>
      <c r="D133" s="20"/>
      <c r="E133" s="20"/>
      <c r="F133" s="21"/>
      <c r="G133" s="21"/>
    </row>
    <row r="134" ht="15.75" customHeight="1">
      <c r="C134" s="20"/>
      <c r="D134" s="20"/>
      <c r="E134" s="20"/>
      <c r="F134" s="21"/>
      <c r="G134" s="21"/>
    </row>
    <row r="135" ht="15.75" customHeight="1">
      <c r="C135" s="20"/>
      <c r="D135" s="20"/>
      <c r="E135" s="20"/>
      <c r="F135" s="21"/>
      <c r="G135" s="21"/>
    </row>
    <row r="136" ht="15.75" customHeight="1">
      <c r="C136" s="20"/>
      <c r="D136" s="20"/>
      <c r="E136" s="20"/>
      <c r="F136" s="21"/>
      <c r="G136" s="21"/>
    </row>
    <row r="137" ht="15.75" customHeight="1">
      <c r="C137" s="20"/>
      <c r="D137" s="20"/>
      <c r="E137" s="20"/>
      <c r="F137" s="21"/>
      <c r="G137" s="21"/>
    </row>
    <row r="138" ht="15.75" customHeight="1">
      <c r="C138" s="20"/>
      <c r="D138" s="20"/>
      <c r="E138" s="20"/>
      <c r="F138" s="21"/>
      <c r="G138" s="21"/>
    </row>
    <row r="139" ht="15.75" customHeight="1">
      <c r="C139" s="20"/>
      <c r="D139" s="20"/>
      <c r="E139" s="20"/>
      <c r="F139" s="21"/>
      <c r="G139" s="21"/>
    </row>
    <row r="140" ht="15.75" customHeight="1">
      <c r="C140" s="20"/>
      <c r="D140" s="20"/>
      <c r="E140" s="20"/>
      <c r="F140" s="21"/>
      <c r="G140" s="21"/>
    </row>
    <row r="141" ht="15.75" customHeight="1">
      <c r="C141" s="20"/>
      <c r="D141" s="20"/>
      <c r="E141" s="20"/>
      <c r="F141" s="21"/>
      <c r="G141" s="21"/>
    </row>
    <row r="142" ht="15.75" customHeight="1">
      <c r="C142" s="20"/>
      <c r="D142" s="20"/>
      <c r="E142" s="20"/>
      <c r="F142" s="21"/>
      <c r="G142" s="21"/>
    </row>
    <row r="143" ht="15.75" customHeight="1">
      <c r="C143" s="20"/>
      <c r="D143" s="20"/>
      <c r="E143" s="20"/>
      <c r="F143" s="21"/>
      <c r="G143" s="21"/>
    </row>
    <row r="144" ht="15.75" customHeight="1">
      <c r="C144" s="20"/>
      <c r="D144" s="20"/>
      <c r="E144" s="20"/>
      <c r="F144" s="21"/>
      <c r="G144" s="21"/>
    </row>
    <row r="145" ht="15.75" customHeight="1">
      <c r="C145" s="20"/>
      <c r="D145" s="20"/>
      <c r="E145" s="20"/>
      <c r="F145" s="21"/>
      <c r="G145" s="21"/>
    </row>
    <row r="146" ht="15.75" customHeight="1">
      <c r="C146" s="20"/>
      <c r="D146" s="20"/>
      <c r="E146" s="20"/>
      <c r="F146" s="21"/>
      <c r="G146" s="21"/>
    </row>
    <row r="147" ht="15.75" customHeight="1">
      <c r="C147" s="20"/>
      <c r="D147" s="20"/>
      <c r="E147" s="20"/>
      <c r="F147" s="21"/>
      <c r="G147" s="21"/>
    </row>
    <row r="148" ht="15.75" customHeight="1">
      <c r="C148" s="20"/>
      <c r="D148" s="20"/>
      <c r="E148" s="20"/>
      <c r="F148" s="21"/>
      <c r="G148" s="21"/>
    </row>
    <row r="149" ht="15.75" customHeight="1">
      <c r="C149" s="20"/>
      <c r="D149" s="20"/>
      <c r="E149" s="20"/>
      <c r="F149" s="21"/>
      <c r="G149" s="21"/>
    </row>
    <row r="150" ht="15.75" customHeight="1">
      <c r="C150" s="20"/>
      <c r="D150" s="20"/>
      <c r="E150" s="20"/>
      <c r="F150" s="21"/>
      <c r="G150" s="21"/>
    </row>
    <row r="151" ht="15.75" customHeight="1">
      <c r="C151" s="20"/>
      <c r="D151" s="20"/>
      <c r="E151" s="20"/>
      <c r="F151" s="21"/>
      <c r="G151" s="21"/>
    </row>
    <row r="152" ht="15.75" customHeight="1">
      <c r="C152" s="20"/>
      <c r="D152" s="20"/>
      <c r="E152" s="20"/>
      <c r="F152" s="21"/>
      <c r="G152" s="21"/>
    </row>
    <row r="153" ht="15.75" customHeight="1">
      <c r="C153" s="20"/>
      <c r="D153" s="20"/>
      <c r="E153" s="20"/>
      <c r="F153" s="21"/>
      <c r="G153" s="21"/>
    </row>
    <row r="154" ht="15.75" customHeight="1">
      <c r="C154" s="20"/>
      <c r="D154" s="20"/>
      <c r="E154" s="20"/>
      <c r="F154" s="21"/>
      <c r="G154" s="21"/>
    </row>
    <row r="155" ht="15.75" customHeight="1">
      <c r="C155" s="20"/>
      <c r="D155" s="20"/>
      <c r="E155" s="20"/>
      <c r="F155" s="21"/>
      <c r="G155" s="21"/>
    </row>
    <row r="156" ht="15.75" customHeight="1">
      <c r="C156" s="20"/>
      <c r="D156" s="20"/>
      <c r="E156" s="20"/>
      <c r="F156" s="21"/>
      <c r="G156" s="21"/>
    </row>
    <row r="157" ht="15.75" customHeight="1">
      <c r="C157" s="20"/>
      <c r="D157" s="20"/>
      <c r="E157" s="20"/>
      <c r="F157" s="21"/>
      <c r="G157" s="21"/>
    </row>
    <row r="158" ht="15.75" customHeight="1">
      <c r="C158" s="20"/>
      <c r="D158" s="20"/>
      <c r="E158" s="20"/>
      <c r="F158" s="21"/>
      <c r="G158" s="21"/>
    </row>
    <row r="159" ht="15.75" customHeight="1">
      <c r="C159" s="20"/>
      <c r="D159" s="20"/>
      <c r="E159" s="20"/>
      <c r="F159" s="21"/>
      <c r="G159" s="21"/>
    </row>
    <row r="160" ht="15.75" customHeight="1">
      <c r="C160" s="20"/>
      <c r="D160" s="20"/>
      <c r="E160" s="20"/>
      <c r="F160" s="21"/>
      <c r="G160" s="21"/>
    </row>
    <row r="161" ht="15.75" customHeight="1">
      <c r="C161" s="20"/>
      <c r="D161" s="20"/>
      <c r="E161" s="20"/>
      <c r="F161" s="21"/>
      <c r="G161" s="21"/>
    </row>
    <row r="162" ht="15.75" customHeight="1">
      <c r="C162" s="20"/>
      <c r="D162" s="20"/>
      <c r="E162" s="20"/>
      <c r="F162" s="21"/>
      <c r="G162" s="21"/>
    </row>
    <row r="163" ht="15.75" customHeight="1">
      <c r="C163" s="20"/>
      <c r="D163" s="20"/>
      <c r="E163" s="20"/>
      <c r="F163" s="21"/>
      <c r="G163" s="21"/>
    </row>
    <row r="164" ht="15.75" customHeight="1">
      <c r="C164" s="20"/>
      <c r="D164" s="20"/>
      <c r="E164" s="20"/>
      <c r="F164" s="21"/>
      <c r="G164" s="21"/>
    </row>
    <row r="165" ht="15.75" customHeight="1">
      <c r="C165" s="20"/>
      <c r="D165" s="20"/>
      <c r="E165" s="20"/>
      <c r="F165" s="21"/>
      <c r="G165" s="21"/>
    </row>
    <row r="166" ht="15.75" customHeight="1">
      <c r="C166" s="20"/>
      <c r="D166" s="20"/>
      <c r="E166" s="20"/>
      <c r="F166" s="21"/>
      <c r="G166" s="21"/>
    </row>
    <row r="167" ht="15.75" customHeight="1">
      <c r="C167" s="20"/>
      <c r="D167" s="20"/>
      <c r="E167" s="20"/>
      <c r="F167" s="21"/>
      <c r="G167" s="21"/>
    </row>
    <row r="168" ht="15.75" customHeight="1">
      <c r="C168" s="20"/>
      <c r="D168" s="20"/>
      <c r="E168" s="20"/>
      <c r="F168" s="21"/>
      <c r="G168" s="21"/>
    </row>
    <row r="169" ht="15.75" customHeight="1">
      <c r="C169" s="20"/>
      <c r="D169" s="20"/>
      <c r="E169" s="20"/>
      <c r="F169" s="21"/>
      <c r="G169" s="21"/>
    </row>
    <row r="170" ht="15.75" customHeight="1">
      <c r="C170" s="20"/>
      <c r="D170" s="20"/>
      <c r="E170" s="20"/>
      <c r="F170" s="21"/>
      <c r="G170" s="21"/>
    </row>
    <row r="171" ht="15.75" customHeight="1">
      <c r="C171" s="20"/>
      <c r="D171" s="20"/>
      <c r="E171" s="20"/>
      <c r="F171" s="21"/>
      <c r="G171" s="21"/>
    </row>
    <row r="172" ht="15.75" customHeight="1">
      <c r="C172" s="20"/>
      <c r="D172" s="20"/>
      <c r="E172" s="20"/>
      <c r="F172" s="21"/>
      <c r="G172" s="21"/>
    </row>
    <row r="173" ht="15.75" customHeight="1">
      <c r="C173" s="20"/>
      <c r="D173" s="20"/>
      <c r="E173" s="20"/>
      <c r="F173" s="21"/>
      <c r="G173" s="21"/>
    </row>
    <row r="174" ht="15.75" customHeight="1">
      <c r="C174" s="20"/>
      <c r="D174" s="20"/>
      <c r="E174" s="20"/>
      <c r="F174" s="21"/>
      <c r="G174" s="21"/>
    </row>
    <row r="175" ht="15.75" customHeight="1">
      <c r="C175" s="20"/>
      <c r="D175" s="20"/>
      <c r="E175" s="20"/>
      <c r="F175" s="21"/>
      <c r="G175" s="21"/>
    </row>
    <row r="176" ht="15.75" customHeight="1">
      <c r="C176" s="20"/>
      <c r="D176" s="20"/>
      <c r="E176" s="20"/>
      <c r="F176" s="21"/>
      <c r="G176" s="21"/>
    </row>
    <row r="177" ht="15.75" customHeight="1">
      <c r="C177" s="20"/>
      <c r="D177" s="20"/>
      <c r="E177" s="20"/>
      <c r="F177" s="21"/>
      <c r="G177" s="21"/>
    </row>
    <row r="178" ht="15.75" customHeight="1">
      <c r="C178" s="20"/>
      <c r="D178" s="20"/>
      <c r="E178" s="20"/>
      <c r="F178" s="21"/>
      <c r="G178" s="21"/>
    </row>
    <row r="179" ht="15.75" customHeight="1">
      <c r="C179" s="20"/>
      <c r="D179" s="20"/>
      <c r="E179" s="20"/>
      <c r="F179" s="21"/>
      <c r="G179" s="21"/>
    </row>
    <row r="180" ht="15.75" customHeight="1">
      <c r="C180" s="20"/>
      <c r="D180" s="20"/>
      <c r="E180" s="20"/>
      <c r="F180" s="21"/>
      <c r="G180" s="21"/>
    </row>
    <row r="181" ht="15.75" customHeight="1">
      <c r="C181" s="20"/>
      <c r="D181" s="20"/>
      <c r="E181" s="20"/>
      <c r="F181" s="21"/>
      <c r="G181" s="21"/>
    </row>
    <row r="182" ht="15.75" customHeight="1">
      <c r="C182" s="20"/>
      <c r="D182" s="20"/>
      <c r="E182" s="20"/>
      <c r="F182" s="21"/>
      <c r="G182" s="21"/>
    </row>
    <row r="183" ht="15.75" customHeight="1">
      <c r="C183" s="20"/>
      <c r="D183" s="20"/>
      <c r="E183" s="20"/>
      <c r="F183" s="21"/>
      <c r="G183" s="21"/>
    </row>
    <row r="184" ht="15.75" customHeight="1">
      <c r="C184" s="20"/>
      <c r="D184" s="20"/>
      <c r="E184" s="20"/>
      <c r="F184" s="21"/>
      <c r="G184" s="21"/>
    </row>
    <row r="185" ht="15.75" customHeight="1">
      <c r="C185" s="20"/>
      <c r="D185" s="20"/>
      <c r="E185" s="20"/>
      <c r="F185" s="21"/>
      <c r="G185" s="21"/>
    </row>
    <row r="186" ht="15.75" customHeight="1">
      <c r="C186" s="20"/>
      <c r="D186" s="20"/>
      <c r="E186" s="20"/>
      <c r="F186" s="21"/>
      <c r="G186" s="21"/>
    </row>
    <row r="187" ht="15.75" customHeight="1">
      <c r="C187" s="20"/>
      <c r="D187" s="20"/>
      <c r="E187" s="20"/>
      <c r="F187" s="21"/>
      <c r="G187" s="21"/>
    </row>
    <row r="188" ht="15.75" customHeight="1">
      <c r="C188" s="20"/>
      <c r="D188" s="20"/>
      <c r="E188" s="20"/>
      <c r="F188" s="21"/>
      <c r="G188" s="21"/>
    </row>
    <row r="189" ht="15.75" customHeight="1">
      <c r="C189" s="20"/>
      <c r="D189" s="20"/>
      <c r="E189" s="20"/>
      <c r="F189" s="21"/>
      <c r="G189" s="21"/>
    </row>
    <row r="190" ht="15.75" customHeight="1">
      <c r="C190" s="20"/>
      <c r="D190" s="20"/>
      <c r="E190" s="20"/>
      <c r="F190" s="21"/>
      <c r="G190" s="21"/>
    </row>
    <row r="191" ht="15.75" customHeight="1">
      <c r="C191" s="20"/>
      <c r="D191" s="20"/>
      <c r="E191" s="20"/>
      <c r="F191" s="21"/>
      <c r="G191" s="21"/>
    </row>
    <row r="192" ht="15.75" customHeight="1">
      <c r="C192" s="20"/>
      <c r="D192" s="20"/>
      <c r="E192" s="20"/>
      <c r="F192" s="21"/>
      <c r="G192" s="21"/>
    </row>
    <row r="193" ht="15.75" customHeight="1">
      <c r="C193" s="20"/>
      <c r="D193" s="20"/>
      <c r="E193" s="20"/>
      <c r="F193" s="21"/>
      <c r="G193" s="21"/>
    </row>
    <row r="194" ht="15.75" customHeight="1">
      <c r="C194" s="20"/>
      <c r="D194" s="20"/>
      <c r="E194" s="20"/>
      <c r="F194" s="21"/>
      <c r="G194" s="21"/>
    </row>
    <row r="195" ht="15.75" customHeight="1">
      <c r="C195" s="20"/>
      <c r="D195" s="20"/>
      <c r="E195" s="20"/>
      <c r="F195" s="21"/>
      <c r="G195" s="21"/>
    </row>
    <row r="196" ht="15.75" customHeight="1">
      <c r="C196" s="20"/>
      <c r="D196" s="20"/>
      <c r="E196" s="20"/>
      <c r="F196" s="21"/>
      <c r="G196" s="21"/>
    </row>
    <row r="197" ht="15.75" customHeight="1">
      <c r="C197" s="20"/>
      <c r="D197" s="20"/>
      <c r="E197" s="20"/>
      <c r="F197" s="21"/>
      <c r="G197" s="21"/>
    </row>
    <row r="198" ht="15.75" customHeight="1">
      <c r="C198" s="20"/>
      <c r="D198" s="20"/>
      <c r="E198" s="20"/>
      <c r="F198" s="21"/>
      <c r="G198" s="21"/>
    </row>
    <row r="199" ht="15.75" customHeight="1">
      <c r="C199" s="20"/>
      <c r="D199" s="20"/>
      <c r="E199" s="20"/>
      <c r="F199" s="21"/>
      <c r="G199" s="21"/>
    </row>
    <row r="200" ht="15.75" customHeight="1">
      <c r="C200" s="20"/>
      <c r="D200" s="20"/>
      <c r="E200" s="20"/>
      <c r="F200" s="21"/>
      <c r="G200" s="21"/>
    </row>
    <row r="201" ht="15.75" customHeight="1">
      <c r="C201" s="20"/>
      <c r="D201" s="20"/>
      <c r="E201" s="20"/>
      <c r="F201" s="21"/>
      <c r="G201" s="21"/>
    </row>
    <row r="202" ht="15.75" customHeight="1">
      <c r="C202" s="20"/>
      <c r="D202" s="20"/>
      <c r="E202" s="20"/>
      <c r="F202" s="21"/>
      <c r="G202" s="21"/>
    </row>
    <row r="203" ht="15.75" customHeight="1">
      <c r="C203" s="20"/>
      <c r="D203" s="20"/>
      <c r="E203" s="20"/>
      <c r="F203" s="21"/>
      <c r="G203" s="21"/>
    </row>
    <row r="204" ht="15.75" customHeight="1">
      <c r="C204" s="20"/>
      <c r="D204" s="20"/>
      <c r="E204" s="20"/>
      <c r="F204" s="21"/>
      <c r="G204" s="21"/>
    </row>
    <row r="205" ht="15.75" customHeight="1">
      <c r="C205" s="20"/>
      <c r="D205" s="20"/>
      <c r="E205" s="20"/>
      <c r="F205" s="21"/>
      <c r="G205" s="21"/>
    </row>
    <row r="206" ht="15.75" customHeight="1">
      <c r="C206" s="20"/>
      <c r="D206" s="20"/>
      <c r="E206" s="20"/>
      <c r="F206" s="21"/>
      <c r="G206" s="21"/>
    </row>
    <row r="207" ht="15.75" customHeight="1">
      <c r="C207" s="20"/>
      <c r="D207" s="20"/>
      <c r="E207" s="20"/>
      <c r="F207" s="21"/>
      <c r="G207" s="21"/>
    </row>
    <row r="208" ht="15.75" customHeight="1">
      <c r="C208" s="20"/>
      <c r="D208" s="20"/>
      <c r="E208" s="20"/>
      <c r="F208" s="21"/>
      <c r="G208" s="21"/>
    </row>
    <row r="209" ht="15.75" customHeight="1">
      <c r="C209" s="20"/>
      <c r="D209" s="20"/>
      <c r="E209" s="20"/>
      <c r="F209" s="21"/>
      <c r="G209" s="21"/>
    </row>
    <row r="210" ht="15.75" customHeight="1">
      <c r="C210" s="20"/>
      <c r="D210" s="20"/>
      <c r="E210" s="20"/>
      <c r="F210" s="21"/>
      <c r="G210" s="21"/>
    </row>
    <row r="211" ht="15.75" customHeight="1">
      <c r="C211" s="20"/>
      <c r="D211" s="20"/>
      <c r="E211" s="20"/>
      <c r="F211" s="21"/>
      <c r="G211" s="21"/>
    </row>
    <row r="212" ht="15.75" customHeight="1">
      <c r="C212" s="20"/>
      <c r="D212" s="20"/>
      <c r="E212" s="20"/>
      <c r="F212" s="21"/>
      <c r="G212" s="21"/>
    </row>
    <row r="213" ht="15.75" customHeight="1">
      <c r="C213" s="20"/>
      <c r="D213" s="20"/>
      <c r="E213" s="20"/>
      <c r="F213" s="21"/>
      <c r="G213" s="21"/>
    </row>
    <row r="214" ht="15.75" customHeight="1">
      <c r="C214" s="20"/>
      <c r="D214" s="20"/>
      <c r="E214" s="20"/>
      <c r="F214" s="21"/>
      <c r="G214" s="21"/>
    </row>
    <row r="215" ht="15.75" customHeight="1">
      <c r="C215" s="20"/>
      <c r="D215" s="20"/>
      <c r="E215" s="20"/>
      <c r="F215" s="21"/>
      <c r="G215" s="21"/>
    </row>
    <row r="216" ht="15.75" customHeight="1">
      <c r="C216" s="20"/>
      <c r="D216" s="20"/>
      <c r="E216" s="20"/>
      <c r="F216" s="21"/>
      <c r="G216" s="21"/>
    </row>
    <row r="217" ht="15.75" customHeight="1">
      <c r="C217" s="20"/>
      <c r="D217" s="20"/>
      <c r="E217" s="20"/>
      <c r="F217" s="21"/>
      <c r="G217" s="21"/>
    </row>
    <row r="218" ht="15.75" customHeight="1">
      <c r="C218" s="20"/>
      <c r="D218" s="20"/>
      <c r="E218" s="20"/>
      <c r="F218" s="21"/>
      <c r="G218" s="21"/>
    </row>
    <row r="219" ht="15.75" customHeight="1">
      <c r="C219" s="20"/>
      <c r="D219" s="20"/>
      <c r="E219" s="20"/>
      <c r="F219" s="21"/>
      <c r="G219" s="21"/>
    </row>
    <row r="220" ht="15.75" customHeight="1">
      <c r="C220" s="20"/>
      <c r="D220" s="20"/>
      <c r="E220" s="20"/>
      <c r="F220" s="21"/>
      <c r="G220" s="21"/>
    </row>
    <row r="221" ht="15.75" customHeight="1">
      <c r="C221" s="20"/>
      <c r="D221" s="20"/>
      <c r="E221" s="20"/>
      <c r="F221" s="21"/>
      <c r="G221" s="21"/>
    </row>
    <row r="222" ht="15.75" customHeight="1">
      <c r="C222" s="20"/>
      <c r="D222" s="20"/>
      <c r="E222" s="20"/>
      <c r="F222" s="21"/>
      <c r="G222" s="21"/>
    </row>
    <row r="223" ht="15.75" customHeight="1">
      <c r="C223" s="20"/>
      <c r="D223" s="20"/>
      <c r="E223" s="20"/>
      <c r="F223" s="21"/>
      <c r="G223" s="21"/>
    </row>
    <row r="224" ht="15.75" customHeight="1">
      <c r="C224" s="20"/>
      <c r="D224" s="20"/>
      <c r="E224" s="20"/>
      <c r="F224" s="21"/>
      <c r="G224" s="21"/>
    </row>
    <row r="225" ht="15.75" customHeight="1">
      <c r="C225" s="20"/>
      <c r="D225" s="20"/>
      <c r="E225" s="20"/>
      <c r="F225" s="21"/>
      <c r="G225" s="21"/>
    </row>
    <row r="226" ht="15.75" customHeight="1">
      <c r="C226" s="20"/>
      <c r="D226" s="20"/>
      <c r="E226" s="20"/>
      <c r="F226" s="21"/>
      <c r="G226" s="21"/>
    </row>
    <row r="227" ht="15.75" customHeight="1">
      <c r="C227" s="20"/>
      <c r="D227" s="20"/>
      <c r="E227" s="20"/>
      <c r="F227" s="21"/>
      <c r="G227" s="21"/>
    </row>
    <row r="228" ht="15.75" customHeight="1">
      <c r="C228" s="20"/>
      <c r="D228" s="20"/>
      <c r="E228" s="20"/>
      <c r="F228" s="21"/>
      <c r="G228" s="21"/>
    </row>
    <row r="229" ht="15.75" customHeight="1">
      <c r="C229" s="20"/>
      <c r="D229" s="20"/>
      <c r="E229" s="20"/>
      <c r="F229" s="21"/>
      <c r="G229" s="21"/>
    </row>
    <row r="230" ht="15.75" customHeight="1">
      <c r="C230" s="20"/>
      <c r="D230" s="20"/>
      <c r="E230" s="20"/>
      <c r="F230" s="21"/>
      <c r="G230" s="21"/>
    </row>
    <row r="231" ht="15.75" customHeight="1">
      <c r="C231" s="20"/>
      <c r="D231" s="20"/>
      <c r="E231" s="20"/>
      <c r="F231" s="21"/>
      <c r="G231" s="21"/>
    </row>
    <row r="232" ht="15.75" customHeight="1">
      <c r="C232" s="20"/>
      <c r="D232" s="20"/>
      <c r="E232" s="20"/>
      <c r="F232" s="21"/>
      <c r="G232" s="21"/>
    </row>
    <row r="233" ht="15.75" customHeight="1">
      <c r="C233" s="20"/>
      <c r="D233" s="20"/>
      <c r="E233" s="20"/>
      <c r="F233" s="21"/>
      <c r="G233" s="21"/>
    </row>
    <row r="234" ht="15.75" customHeight="1">
      <c r="C234" s="20"/>
      <c r="D234" s="20"/>
      <c r="E234" s="20"/>
      <c r="F234" s="21"/>
      <c r="G234" s="21"/>
    </row>
    <row r="235" ht="15.75" customHeight="1">
      <c r="C235" s="20"/>
      <c r="D235" s="20"/>
      <c r="E235" s="20"/>
      <c r="F235" s="21"/>
      <c r="G235" s="21"/>
    </row>
    <row r="236" ht="15.75" customHeight="1">
      <c r="C236" s="20"/>
      <c r="D236" s="20"/>
      <c r="E236" s="20"/>
      <c r="F236" s="21"/>
      <c r="G236" s="21"/>
    </row>
    <row r="237" ht="15.75" customHeight="1">
      <c r="C237" s="20"/>
      <c r="D237" s="20"/>
      <c r="E237" s="20"/>
      <c r="F237" s="21"/>
      <c r="G237" s="21"/>
    </row>
    <row r="238" ht="15.75" customHeight="1">
      <c r="C238" s="20"/>
      <c r="D238" s="20"/>
      <c r="E238" s="20"/>
      <c r="F238" s="21"/>
      <c r="G238" s="21"/>
    </row>
    <row r="239" ht="15.75" customHeight="1">
      <c r="C239" s="20"/>
      <c r="D239" s="20"/>
      <c r="E239" s="20"/>
      <c r="F239" s="21"/>
      <c r="G239" s="21"/>
    </row>
    <row r="240" ht="15.75" customHeight="1">
      <c r="C240" s="20"/>
      <c r="D240" s="20"/>
      <c r="E240" s="20"/>
      <c r="F240" s="21"/>
      <c r="G240" s="21"/>
    </row>
    <row r="241" ht="15.75" customHeight="1">
      <c r="C241" s="20"/>
      <c r="D241" s="20"/>
      <c r="E241" s="20"/>
      <c r="F241" s="21"/>
      <c r="G241" s="21"/>
    </row>
    <row r="242" ht="15.75" customHeight="1">
      <c r="C242" s="20"/>
      <c r="D242" s="20"/>
      <c r="E242" s="20"/>
      <c r="F242" s="21"/>
      <c r="G242" s="21"/>
    </row>
    <row r="243" ht="15.75" customHeight="1">
      <c r="C243" s="20"/>
      <c r="D243" s="20"/>
      <c r="E243" s="20"/>
      <c r="F243" s="21"/>
      <c r="G243" s="21"/>
    </row>
    <row r="244" ht="15.75" customHeight="1">
      <c r="C244" s="20"/>
      <c r="D244" s="20"/>
      <c r="E244" s="20"/>
      <c r="F244" s="21"/>
      <c r="G244" s="21"/>
    </row>
    <row r="245" ht="15.75" customHeight="1">
      <c r="C245" s="20"/>
      <c r="D245" s="20"/>
      <c r="E245" s="20"/>
      <c r="F245" s="21"/>
      <c r="G245" s="21"/>
    </row>
    <row r="246" ht="15.75" customHeight="1">
      <c r="C246" s="20"/>
      <c r="D246" s="20"/>
      <c r="E246" s="20"/>
      <c r="F246" s="21"/>
      <c r="G246" s="21"/>
    </row>
    <row r="247" ht="15.75" customHeight="1">
      <c r="C247" s="20"/>
      <c r="D247" s="20"/>
      <c r="E247" s="20"/>
      <c r="F247" s="21"/>
      <c r="G247" s="21"/>
    </row>
    <row r="248" ht="15.75" customHeight="1">
      <c r="C248" s="20"/>
      <c r="D248" s="20"/>
      <c r="E248" s="20"/>
      <c r="F248" s="21"/>
      <c r="G248" s="21"/>
    </row>
    <row r="249" ht="15.75" customHeight="1">
      <c r="C249" s="20"/>
      <c r="D249" s="20"/>
      <c r="E249" s="20"/>
      <c r="F249" s="21"/>
      <c r="G249" s="21"/>
    </row>
    <row r="250" ht="15.75" customHeight="1">
      <c r="C250" s="20"/>
      <c r="D250" s="20"/>
      <c r="E250" s="20"/>
      <c r="F250" s="21"/>
      <c r="G250" s="21"/>
    </row>
    <row r="251" ht="15.75" customHeight="1">
      <c r="C251" s="20"/>
      <c r="D251" s="20"/>
      <c r="E251" s="20"/>
      <c r="F251" s="21"/>
      <c r="G251" s="21"/>
    </row>
    <row r="252" ht="15.75" customHeight="1">
      <c r="C252" s="20"/>
      <c r="D252" s="20"/>
      <c r="E252" s="20"/>
      <c r="F252" s="21"/>
      <c r="G252" s="21"/>
    </row>
    <row r="253" ht="15.75" customHeight="1">
      <c r="C253" s="20"/>
      <c r="D253" s="20"/>
      <c r="E253" s="20"/>
      <c r="F253" s="21"/>
      <c r="G253" s="21"/>
    </row>
    <row r="254" ht="15.75" customHeight="1">
      <c r="C254" s="20"/>
      <c r="D254" s="20"/>
      <c r="E254" s="20"/>
      <c r="F254" s="21"/>
      <c r="G254" s="21"/>
    </row>
    <row r="255" ht="15.75" customHeight="1">
      <c r="C255" s="20"/>
      <c r="D255" s="20"/>
      <c r="E255" s="20"/>
      <c r="F255" s="21"/>
      <c r="G255" s="21"/>
    </row>
    <row r="256" ht="15.75" customHeight="1">
      <c r="C256" s="20"/>
      <c r="D256" s="20"/>
      <c r="E256" s="20"/>
      <c r="F256" s="21"/>
      <c r="G256" s="21"/>
    </row>
    <row r="257" ht="15.75" customHeight="1">
      <c r="C257" s="20"/>
      <c r="D257" s="20"/>
      <c r="E257" s="20"/>
      <c r="F257" s="21"/>
      <c r="G257" s="21"/>
    </row>
    <row r="258" ht="15.75" customHeight="1">
      <c r="C258" s="20"/>
      <c r="D258" s="20"/>
      <c r="E258" s="20"/>
      <c r="F258" s="21"/>
      <c r="G258" s="21"/>
    </row>
    <row r="259" ht="15.75" customHeight="1">
      <c r="C259" s="20"/>
      <c r="D259" s="20"/>
      <c r="E259" s="20"/>
      <c r="F259" s="21"/>
      <c r="G259" s="21"/>
    </row>
    <row r="260" ht="15.75" customHeight="1">
      <c r="C260" s="20"/>
      <c r="D260" s="20"/>
      <c r="E260" s="20"/>
      <c r="F260" s="21"/>
      <c r="G260" s="21"/>
    </row>
    <row r="261" ht="15.75" customHeight="1">
      <c r="C261" s="20"/>
      <c r="D261" s="20"/>
      <c r="E261" s="20"/>
      <c r="F261" s="21"/>
      <c r="G261" s="21"/>
    </row>
    <row r="262" ht="15.75" customHeight="1">
      <c r="C262" s="20"/>
      <c r="D262" s="20"/>
      <c r="E262" s="20"/>
      <c r="F262" s="21"/>
      <c r="G262" s="21"/>
    </row>
    <row r="263" ht="15.75" customHeight="1">
      <c r="C263" s="20"/>
      <c r="D263" s="20"/>
      <c r="E263" s="20"/>
      <c r="F263" s="21"/>
      <c r="G263" s="21"/>
    </row>
    <row r="264" ht="15.75" customHeight="1">
      <c r="C264" s="20"/>
      <c r="D264" s="20"/>
      <c r="E264" s="20"/>
      <c r="F264" s="21"/>
      <c r="G264" s="21"/>
    </row>
    <row r="265" ht="15.75" customHeight="1">
      <c r="C265" s="20"/>
      <c r="D265" s="20"/>
      <c r="E265" s="20"/>
      <c r="F265" s="21"/>
      <c r="G265" s="21"/>
    </row>
    <row r="266" ht="15.75" customHeight="1">
      <c r="C266" s="20"/>
      <c r="D266" s="20"/>
      <c r="E266" s="20"/>
      <c r="F266" s="21"/>
      <c r="G266" s="21"/>
    </row>
    <row r="267" ht="15.75" customHeight="1">
      <c r="C267" s="20"/>
      <c r="D267" s="20"/>
      <c r="E267" s="20"/>
      <c r="F267" s="21"/>
      <c r="G267" s="21"/>
    </row>
    <row r="268" ht="15.75" customHeight="1">
      <c r="C268" s="20"/>
      <c r="D268" s="20"/>
      <c r="E268" s="20"/>
      <c r="F268" s="21"/>
      <c r="G268" s="21"/>
    </row>
    <row r="269" ht="15.75" customHeight="1">
      <c r="C269" s="20"/>
      <c r="D269" s="20"/>
      <c r="E269" s="20"/>
      <c r="F269" s="21"/>
      <c r="G269" s="21"/>
    </row>
    <row r="270" ht="15.75" customHeight="1">
      <c r="C270" s="20"/>
      <c r="D270" s="20"/>
      <c r="E270" s="20"/>
      <c r="F270" s="21"/>
      <c r="G270" s="21"/>
    </row>
    <row r="271" ht="15.75" customHeight="1">
      <c r="C271" s="20"/>
      <c r="D271" s="20"/>
      <c r="E271" s="20"/>
      <c r="F271" s="21"/>
      <c r="G271" s="21"/>
    </row>
    <row r="272" ht="15.75" customHeight="1">
      <c r="C272" s="20"/>
      <c r="D272" s="20"/>
      <c r="E272" s="20"/>
      <c r="F272" s="21"/>
      <c r="G272" s="21"/>
    </row>
    <row r="273" ht="15.75" customHeight="1">
      <c r="C273" s="20"/>
      <c r="D273" s="20"/>
      <c r="E273" s="20"/>
      <c r="F273" s="21"/>
      <c r="G273" s="21"/>
    </row>
    <row r="274" ht="15.75" customHeight="1">
      <c r="C274" s="20"/>
      <c r="D274" s="20"/>
      <c r="E274" s="20"/>
      <c r="F274" s="21"/>
      <c r="G274" s="21"/>
    </row>
    <row r="275" ht="15.75" customHeight="1">
      <c r="C275" s="20"/>
      <c r="D275" s="20"/>
      <c r="E275" s="20"/>
      <c r="F275" s="21"/>
      <c r="G275" s="21"/>
    </row>
    <row r="276" ht="15.75" customHeight="1">
      <c r="C276" s="20"/>
      <c r="D276" s="20"/>
      <c r="E276" s="20"/>
      <c r="F276" s="21"/>
      <c r="G276" s="21"/>
    </row>
    <row r="277" ht="15.75" customHeight="1">
      <c r="C277" s="20"/>
      <c r="D277" s="20"/>
      <c r="E277" s="20"/>
      <c r="F277" s="21"/>
      <c r="G277" s="21"/>
    </row>
    <row r="278" ht="15.75" customHeight="1">
      <c r="C278" s="20"/>
      <c r="D278" s="20"/>
      <c r="E278" s="20"/>
      <c r="F278" s="21"/>
      <c r="G278" s="21"/>
    </row>
    <row r="279" ht="15.75" customHeight="1">
      <c r="C279" s="20"/>
      <c r="D279" s="20"/>
      <c r="E279" s="20"/>
      <c r="F279" s="21"/>
      <c r="G279" s="21"/>
    </row>
    <row r="280" ht="15.75" customHeight="1">
      <c r="C280" s="20"/>
      <c r="D280" s="20"/>
      <c r="E280" s="20"/>
      <c r="F280" s="21"/>
      <c r="G280" s="21"/>
    </row>
    <row r="281" ht="15.75" customHeight="1">
      <c r="C281" s="20"/>
      <c r="D281" s="20"/>
      <c r="E281" s="20"/>
      <c r="F281" s="21"/>
      <c r="G281" s="21"/>
    </row>
    <row r="282" ht="15.75" customHeight="1">
      <c r="C282" s="20"/>
      <c r="D282" s="20"/>
      <c r="E282" s="20"/>
      <c r="F282" s="21"/>
      <c r="G282" s="21"/>
    </row>
    <row r="283" ht="15.75" customHeight="1">
      <c r="C283" s="20"/>
      <c r="D283" s="20"/>
      <c r="E283" s="20"/>
      <c r="F283" s="21"/>
      <c r="G283" s="21"/>
    </row>
    <row r="284" ht="15.75" customHeight="1">
      <c r="C284" s="20"/>
      <c r="D284" s="20"/>
      <c r="E284" s="20"/>
      <c r="F284" s="21"/>
      <c r="G284" s="21"/>
    </row>
    <row r="285" ht="15.75" customHeight="1">
      <c r="C285" s="20"/>
      <c r="D285" s="20"/>
      <c r="E285" s="20"/>
      <c r="F285" s="21"/>
      <c r="G285" s="21"/>
    </row>
    <row r="286" ht="15.75" customHeight="1">
      <c r="C286" s="20"/>
      <c r="D286" s="20"/>
      <c r="E286" s="20"/>
      <c r="F286" s="21"/>
      <c r="G286" s="21"/>
    </row>
    <row r="287" ht="15.75" customHeight="1">
      <c r="C287" s="20"/>
      <c r="D287" s="20"/>
      <c r="E287" s="20"/>
      <c r="F287" s="21"/>
      <c r="G287" s="21"/>
    </row>
    <row r="288" ht="15.75" customHeight="1">
      <c r="C288" s="20"/>
      <c r="D288" s="20"/>
      <c r="E288" s="20"/>
      <c r="F288" s="21"/>
      <c r="G288" s="21"/>
    </row>
    <row r="289" ht="15.75" customHeight="1">
      <c r="C289" s="20"/>
      <c r="D289" s="20"/>
      <c r="E289" s="20"/>
      <c r="F289" s="21"/>
      <c r="G289" s="21"/>
    </row>
    <row r="290" ht="15.75" customHeight="1">
      <c r="C290" s="20"/>
      <c r="D290" s="20"/>
      <c r="E290" s="20"/>
      <c r="F290" s="21"/>
      <c r="G290" s="21"/>
    </row>
    <row r="291" ht="15.75" customHeight="1">
      <c r="C291" s="20"/>
      <c r="D291" s="20"/>
      <c r="E291" s="20"/>
      <c r="F291" s="21"/>
      <c r="G291" s="21"/>
    </row>
    <row r="292" ht="15.75" customHeight="1">
      <c r="C292" s="20"/>
      <c r="D292" s="20"/>
      <c r="E292" s="20"/>
      <c r="F292" s="21"/>
      <c r="G292" s="21"/>
    </row>
    <row r="293" ht="15.75" customHeight="1">
      <c r="C293" s="20"/>
      <c r="D293" s="20"/>
      <c r="E293" s="20"/>
      <c r="F293" s="21"/>
      <c r="G293" s="21"/>
    </row>
    <row r="294" ht="15.75" customHeight="1">
      <c r="C294" s="20"/>
      <c r="D294" s="20"/>
      <c r="E294" s="20"/>
      <c r="F294" s="21"/>
      <c r="G294" s="21"/>
    </row>
    <row r="295" ht="15.75" customHeight="1">
      <c r="C295" s="20"/>
      <c r="D295" s="20"/>
      <c r="E295" s="20"/>
      <c r="F295" s="21"/>
      <c r="G295" s="21"/>
    </row>
    <row r="296" ht="15.75" customHeight="1">
      <c r="C296" s="20"/>
      <c r="D296" s="20"/>
      <c r="E296" s="20"/>
      <c r="F296" s="21"/>
      <c r="G296" s="21"/>
    </row>
    <row r="297" ht="15.75" customHeight="1">
      <c r="C297" s="20"/>
      <c r="D297" s="20"/>
      <c r="E297" s="20"/>
      <c r="F297" s="21"/>
      <c r="G297" s="21"/>
    </row>
    <row r="298" ht="15.75" customHeight="1">
      <c r="C298" s="20"/>
      <c r="D298" s="20"/>
      <c r="E298" s="20"/>
      <c r="F298" s="21"/>
      <c r="G298" s="21"/>
    </row>
    <row r="299" ht="15.75" customHeight="1">
      <c r="C299" s="20"/>
      <c r="D299" s="20"/>
      <c r="E299" s="20"/>
      <c r="F299" s="21"/>
      <c r="G299" s="21"/>
    </row>
    <row r="300" ht="15.75" customHeight="1">
      <c r="C300" s="20"/>
      <c r="D300" s="20"/>
      <c r="E300" s="20"/>
      <c r="F300" s="21"/>
      <c r="G300" s="21"/>
    </row>
    <row r="301" ht="15.75" customHeight="1">
      <c r="C301" s="20"/>
      <c r="D301" s="20"/>
      <c r="E301" s="20"/>
      <c r="F301" s="21"/>
      <c r="G301" s="21"/>
    </row>
    <row r="302" ht="15.75" customHeight="1">
      <c r="C302" s="20"/>
      <c r="D302" s="20"/>
      <c r="E302" s="20"/>
      <c r="F302" s="21"/>
      <c r="G302" s="21"/>
    </row>
    <row r="303" ht="15.75" customHeight="1">
      <c r="C303" s="20"/>
      <c r="D303" s="20"/>
      <c r="E303" s="20"/>
      <c r="F303" s="21"/>
      <c r="G303" s="21"/>
    </row>
    <row r="304" ht="15.75" customHeight="1">
      <c r="C304" s="20"/>
      <c r="D304" s="20"/>
      <c r="E304" s="20"/>
      <c r="F304" s="21"/>
      <c r="G304" s="21"/>
    </row>
    <row r="305" ht="15.75" customHeight="1">
      <c r="C305" s="20"/>
      <c r="D305" s="20"/>
      <c r="E305" s="20"/>
      <c r="F305" s="21"/>
      <c r="G305" s="21"/>
    </row>
    <row r="306" ht="15.75" customHeight="1">
      <c r="C306" s="20"/>
      <c r="D306" s="20"/>
      <c r="E306" s="20"/>
      <c r="F306" s="21"/>
      <c r="G306" s="21"/>
    </row>
    <row r="307" ht="15.75" customHeight="1">
      <c r="C307" s="20"/>
      <c r="D307" s="20"/>
      <c r="E307" s="20"/>
      <c r="F307" s="21"/>
      <c r="G307" s="21"/>
    </row>
    <row r="308" ht="15.75" customHeight="1">
      <c r="C308" s="20"/>
      <c r="D308" s="20"/>
      <c r="E308" s="20"/>
      <c r="F308" s="21"/>
      <c r="G308" s="21"/>
    </row>
    <row r="309" ht="15.75" customHeight="1">
      <c r="C309" s="20"/>
      <c r="D309" s="20"/>
      <c r="E309" s="20"/>
      <c r="F309" s="21"/>
      <c r="G309" s="21"/>
    </row>
    <row r="310" ht="15.75" customHeight="1">
      <c r="C310" s="20"/>
      <c r="D310" s="20"/>
      <c r="E310" s="20"/>
      <c r="F310" s="21"/>
      <c r="G310" s="21"/>
    </row>
    <row r="311" ht="15.75" customHeight="1">
      <c r="C311" s="20"/>
      <c r="D311" s="20"/>
      <c r="E311" s="20"/>
      <c r="F311" s="21"/>
      <c r="G311" s="21"/>
    </row>
    <row r="312" ht="15.75" customHeight="1">
      <c r="C312" s="20"/>
      <c r="D312" s="20"/>
      <c r="E312" s="20"/>
      <c r="F312" s="21"/>
      <c r="G312" s="21"/>
    </row>
    <row r="313" ht="15.75" customHeight="1">
      <c r="C313" s="20"/>
      <c r="D313" s="20"/>
      <c r="E313" s="20"/>
      <c r="F313" s="21"/>
      <c r="G313" s="21"/>
    </row>
    <row r="314" ht="15.75" customHeight="1">
      <c r="C314" s="20"/>
      <c r="D314" s="20"/>
      <c r="E314" s="20"/>
      <c r="F314" s="21"/>
      <c r="G314" s="21"/>
    </row>
    <row r="315" ht="15.75" customHeight="1">
      <c r="C315" s="20"/>
      <c r="D315" s="20"/>
      <c r="E315" s="20"/>
      <c r="F315" s="21"/>
      <c r="G315" s="21"/>
    </row>
    <row r="316" ht="15.75" customHeight="1">
      <c r="C316" s="20"/>
      <c r="D316" s="20"/>
      <c r="E316" s="20"/>
      <c r="F316" s="21"/>
      <c r="G316" s="21"/>
    </row>
    <row r="317" ht="15.75" customHeight="1">
      <c r="C317" s="20"/>
      <c r="D317" s="20"/>
      <c r="E317" s="20"/>
      <c r="F317" s="21"/>
      <c r="G317" s="21"/>
    </row>
    <row r="318" ht="15.75" customHeight="1">
      <c r="C318" s="20"/>
      <c r="D318" s="20"/>
      <c r="E318" s="20"/>
      <c r="F318" s="21"/>
      <c r="G318" s="21"/>
    </row>
    <row r="319" ht="15.75" customHeight="1">
      <c r="C319" s="20"/>
      <c r="D319" s="20"/>
      <c r="E319" s="20"/>
      <c r="F319" s="21"/>
      <c r="G319" s="21"/>
    </row>
    <row r="320" ht="15.75" customHeight="1">
      <c r="C320" s="20"/>
      <c r="D320" s="20"/>
      <c r="E320" s="20"/>
      <c r="F320" s="21"/>
      <c r="G320" s="21"/>
    </row>
    <row r="321" ht="15.75" customHeight="1">
      <c r="C321" s="20"/>
      <c r="D321" s="20"/>
      <c r="E321" s="20"/>
      <c r="F321" s="21"/>
      <c r="G321" s="21"/>
    </row>
    <row r="322" ht="15.75" customHeight="1">
      <c r="C322" s="20"/>
      <c r="D322" s="20"/>
      <c r="E322" s="20"/>
      <c r="F322" s="21"/>
      <c r="G322" s="21"/>
    </row>
    <row r="323" ht="15.75" customHeight="1">
      <c r="C323" s="20"/>
      <c r="D323" s="20"/>
      <c r="E323" s="20"/>
      <c r="F323" s="21"/>
      <c r="G323" s="21"/>
    </row>
    <row r="324" ht="15.75" customHeight="1">
      <c r="C324" s="20"/>
      <c r="D324" s="20"/>
      <c r="E324" s="20"/>
      <c r="F324" s="21"/>
      <c r="G324" s="21"/>
    </row>
    <row r="325" ht="15.75" customHeight="1">
      <c r="C325" s="20"/>
      <c r="D325" s="20"/>
      <c r="E325" s="20"/>
      <c r="F325" s="21"/>
      <c r="G325" s="21"/>
    </row>
    <row r="326" ht="15.75" customHeight="1">
      <c r="C326" s="20"/>
      <c r="D326" s="20"/>
      <c r="E326" s="20"/>
      <c r="F326" s="21"/>
      <c r="G326" s="21"/>
    </row>
    <row r="327" ht="15.75" customHeight="1">
      <c r="C327" s="20"/>
      <c r="D327" s="20"/>
      <c r="E327" s="20"/>
      <c r="F327" s="21"/>
      <c r="G327" s="21"/>
    </row>
    <row r="328" ht="15.75" customHeight="1">
      <c r="C328" s="20"/>
      <c r="D328" s="20"/>
      <c r="E328" s="20"/>
      <c r="F328" s="21"/>
      <c r="G328" s="21"/>
    </row>
    <row r="329" ht="15.75" customHeight="1">
      <c r="C329" s="20"/>
      <c r="D329" s="20"/>
      <c r="E329" s="20"/>
      <c r="F329" s="21"/>
      <c r="G329" s="21"/>
    </row>
    <row r="330" ht="15.75" customHeight="1">
      <c r="C330" s="20"/>
      <c r="D330" s="20"/>
      <c r="E330" s="20"/>
      <c r="F330" s="21"/>
      <c r="G330" s="21"/>
    </row>
    <row r="331" ht="15.75" customHeight="1">
      <c r="C331" s="20"/>
      <c r="D331" s="20"/>
      <c r="E331" s="20"/>
      <c r="F331" s="21"/>
      <c r="G331" s="21"/>
    </row>
    <row r="332" ht="15.75" customHeight="1">
      <c r="C332" s="20"/>
      <c r="D332" s="20"/>
      <c r="E332" s="20"/>
      <c r="F332" s="21"/>
      <c r="G332" s="21"/>
    </row>
    <row r="333" ht="15.75" customHeight="1">
      <c r="C333" s="20"/>
      <c r="D333" s="20"/>
      <c r="E333" s="20"/>
      <c r="F333" s="21"/>
      <c r="G333" s="21"/>
    </row>
    <row r="334" ht="15.75" customHeight="1">
      <c r="C334" s="20"/>
      <c r="D334" s="20"/>
      <c r="E334" s="20"/>
      <c r="F334" s="21"/>
      <c r="G334" s="21"/>
    </row>
    <row r="335" ht="15.75" customHeight="1">
      <c r="C335" s="20"/>
      <c r="D335" s="20"/>
      <c r="E335" s="20"/>
      <c r="F335" s="21"/>
      <c r="G335" s="21"/>
    </row>
    <row r="336" ht="15.75" customHeight="1">
      <c r="C336" s="20"/>
      <c r="D336" s="20"/>
      <c r="E336" s="20"/>
      <c r="F336" s="21"/>
      <c r="G336" s="21"/>
    </row>
    <row r="337" ht="15.75" customHeight="1">
      <c r="C337" s="20"/>
      <c r="D337" s="20"/>
      <c r="E337" s="20"/>
      <c r="F337" s="21"/>
      <c r="G337" s="21"/>
    </row>
    <row r="338" ht="15.75" customHeight="1">
      <c r="C338" s="20"/>
      <c r="D338" s="20"/>
      <c r="E338" s="20"/>
      <c r="F338" s="21"/>
      <c r="G338" s="21"/>
    </row>
    <row r="339" ht="15.75" customHeight="1">
      <c r="C339" s="20"/>
      <c r="D339" s="20"/>
      <c r="E339" s="20"/>
      <c r="F339" s="21"/>
      <c r="G339" s="21"/>
    </row>
    <row r="340" ht="15.75" customHeight="1">
      <c r="C340" s="20"/>
      <c r="D340" s="20"/>
      <c r="E340" s="20"/>
      <c r="F340" s="21"/>
      <c r="G340" s="21"/>
    </row>
    <row r="341" ht="15.75" customHeight="1">
      <c r="C341" s="20"/>
      <c r="D341" s="20"/>
      <c r="E341" s="20"/>
      <c r="F341" s="21"/>
      <c r="G341" s="21"/>
    </row>
    <row r="342" ht="15.75" customHeight="1">
      <c r="C342" s="20"/>
      <c r="D342" s="20"/>
      <c r="E342" s="20"/>
      <c r="F342" s="21"/>
      <c r="G342" s="21"/>
    </row>
    <row r="343" ht="15.75" customHeight="1">
      <c r="C343" s="20"/>
      <c r="D343" s="20"/>
      <c r="E343" s="20"/>
      <c r="F343" s="21"/>
      <c r="G343" s="21"/>
    </row>
    <row r="344" ht="15.75" customHeight="1">
      <c r="C344" s="20"/>
      <c r="D344" s="20"/>
      <c r="E344" s="20"/>
      <c r="F344" s="21"/>
      <c r="G344" s="21"/>
    </row>
    <row r="345" ht="15.75" customHeight="1">
      <c r="C345" s="20"/>
      <c r="D345" s="20"/>
      <c r="E345" s="20"/>
      <c r="F345" s="21"/>
      <c r="G345" s="21"/>
    </row>
    <row r="346" ht="15.75" customHeight="1">
      <c r="C346" s="20"/>
      <c r="D346" s="20"/>
      <c r="E346" s="20"/>
      <c r="F346" s="21"/>
      <c r="G346" s="21"/>
    </row>
    <row r="347" ht="15.75" customHeight="1">
      <c r="C347" s="20"/>
      <c r="D347" s="20"/>
      <c r="E347" s="20"/>
      <c r="F347" s="21"/>
      <c r="G347" s="21"/>
    </row>
    <row r="348" ht="15.75" customHeight="1">
      <c r="C348" s="20"/>
      <c r="D348" s="20"/>
      <c r="E348" s="20"/>
      <c r="F348" s="21"/>
      <c r="G348" s="21"/>
    </row>
    <row r="349" ht="15.75" customHeight="1">
      <c r="C349" s="20"/>
      <c r="D349" s="20"/>
      <c r="E349" s="20"/>
      <c r="F349" s="21"/>
      <c r="G349" s="21"/>
    </row>
    <row r="350" ht="15.75" customHeight="1">
      <c r="C350" s="20"/>
      <c r="D350" s="20"/>
      <c r="E350" s="20"/>
      <c r="F350" s="21"/>
      <c r="G350" s="21"/>
    </row>
    <row r="351" ht="15.75" customHeight="1">
      <c r="C351" s="20"/>
      <c r="D351" s="20"/>
      <c r="E351" s="20"/>
      <c r="F351" s="21"/>
      <c r="G351" s="21"/>
    </row>
    <row r="352" ht="15.75" customHeight="1">
      <c r="C352" s="20"/>
      <c r="D352" s="20"/>
      <c r="E352" s="20"/>
      <c r="F352" s="21"/>
      <c r="G352" s="21"/>
    </row>
    <row r="353" ht="15.75" customHeight="1">
      <c r="C353" s="20"/>
      <c r="D353" s="20"/>
      <c r="E353" s="20"/>
      <c r="F353" s="21"/>
      <c r="G353" s="21"/>
    </row>
    <row r="354" ht="15.75" customHeight="1">
      <c r="C354" s="20"/>
      <c r="D354" s="20"/>
      <c r="E354" s="20"/>
      <c r="F354" s="21"/>
      <c r="G354" s="21"/>
    </row>
    <row r="355" ht="15.75" customHeight="1">
      <c r="C355" s="20"/>
      <c r="D355" s="20"/>
      <c r="E355" s="20"/>
      <c r="F355" s="21"/>
      <c r="G355" s="21"/>
    </row>
    <row r="356" ht="15.75" customHeight="1">
      <c r="C356" s="20"/>
      <c r="D356" s="20"/>
      <c r="E356" s="20"/>
      <c r="F356" s="21"/>
      <c r="G356" s="21"/>
    </row>
    <row r="357" ht="15.75" customHeight="1">
      <c r="C357" s="20"/>
      <c r="D357" s="20"/>
      <c r="E357" s="20"/>
      <c r="F357" s="21"/>
      <c r="G357" s="21"/>
    </row>
    <row r="358" ht="15.75" customHeight="1">
      <c r="C358" s="20"/>
      <c r="D358" s="20"/>
      <c r="E358" s="20"/>
      <c r="F358" s="21"/>
      <c r="G358" s="21"/>
    </row>
    <row r="359" ht="15.75" customHeight="1">
      <c r="C359" s="20"/>
      <c r="D359" s="20"/>
      <c r="E359" s="20"/>
      <c r="F359" s="21"/>
      <c r="G359" s="21"/>
    </row>
    <row r="360" ht="15.75" customHeight="1">
      <c r="C360" s="20"/>
      <c r="D360" s="20"/>
      <c r="E360" s="20"/>
      <c r="F360" s="21"/>
      <c r="G360" s="21"/>
    </row>
    <row r="361" ht="15.75" customHeight="1">
      <c r="C361" s="20"/>
      <c r="D361" s="20"/>
      <c r="E361" s="20"/>
      <c r="F361" s="21"/>
      <c r="G361" s="21"/>
    </row>
    <row r="362" ht="15.75" customHeight="1">
      <c r="C362" s="20"/>
      <c r="D362" s="20"/>
      <c r="E362" s="20"/>
      <c r="F362" s="21"/>
      <c r="G362" s="21"/>
    </row>
    <row r="363" ht="15.75" customHeight="1">
      <c r="C363" s="20"/>
      <c r="D363" s="20"/>
      <c r="E363" s="20"/>
      <c r="F363" s="21"/>
      <c r="G363" s="21"/>
    </row>
    <row r="364" ht="15.75" customHeight="1">
      <c r="C364" s="20"/>
      <c r="D364" s="20"/>
      <c r="E364" s="20"/>
      <c r="F364" s="21"/>
      <c r="G364" s="21"/>
    </row>
    <row r="365" ht="15.75" customHeight="1">
      <c r="C365" s="20"/>
      <c r="D365" s="20"/>
      <c r="E365" s="20"/>
      <c r="F365" s="21"/>
      <c r="G365" s="21"/>
    </row>
    <row r="366" ht="15.75" customHeight="1">
      <c r="C366" s="20"/>
      <c r="D366" s="20"/>
      <c r="E366" s="20"/>
      <c r="F366" s="21"/>
      <c r="G366" s="21"/>
    </row>
    <row r="367" ht="15.75" customHeight="1">
      <c r="C367" s="20"/>
      <c r="D367" s="20"/>
      <c r="E367" s="20"/>
      <c r="F367" s="21"/>
      <c r="G367" s="21"/>
    </row>
    <row r="368" ht="15.75" customHeight="1">
      <c r="C368" s="20"/>
      <c r="D368" s="20"/>
      <c r="E368" s="20"/>
      <c r="F368" s="21"/>
      <c r="G368" s="21"/>
    </row>
    <row r="369" ht="15.75" customHeight="1">
      <c r="C369" s="20"/>
      <c r="D369" s="20"/>
      <c r="E369" s="20"/>
      <c r="F369" s="21"/>
      <c r="G369" s="21"/>
    </row>
    <row r="370" ht="15.75" customHeight="1">
      <c r="C370" s="20"/>
      <c r="D370" s="20"/>
      <c r="E370" s="20"/>
      <c r="F370" s="21"/>
      <c r="G370" s="21"/>
    </row>
    <row r="371" ht="15.75" customHeight="1">
      <c r="C371" s="20"/>
      <c r="D371" s="20"/>
      <c r="E371" s="20"/>
      <c r="F371" s="21"/>
      <c r="G371" s="21"/>
    </row>
    <row r="372" ht="15.75" customHeight="1">
      <c r="C372" s="20"/>
      <c r="D372" s="20"/>
      <c r="E372" s="20"/>
      <c r="F372" s="21"/>
      <c r="G372" s="21"/>
    </row>
    <row r="373" ht="15.75" customHeight="1">
      <c r="C373" s="20"/>
      <c r="D373" s="20"/>
      <c r="E373" s="20"/>
      <c r="F373" s="21"/>
      <c r="G373" s="21"/>
    </row>
    <row r="374" ht="15.75" customHeight="1">
      <c r="C374" s="20"/>
      <c r="D374" s="20"/>
      <c r="E374" s="20"/>
      <c r="F374" s="21"/>
      <c r="G374" s="21"/>
    </row>
    <row r="375" ht="15.75" customHeight="1">
      <c r="C375" s="20"/>
      <c r="D375" s="20"/>
      <c r="E375" s="20"/>
      <c r="F375" s="21"/>
      <c r="G375" s="21"/>
    </row>
    <row r="376" ht="15.75" customHeight="1">
      <c r="C376" s="20"/>
      <c r="D376" s="20"/>
      <c r="E376" s="20"/>
      <c r="F376" s="21"/>
      <c r="G376" s="21"/>
    </row>
    <row r="377" ht="15.75" customHeight="1">
      <c r="C377" s="20"/>
      <c r="D377" s="20"/>
      <c r="E377" s="20"/>
      <c r="F377" s="21"/>
      <c r="G377" s="21"/>
    </row>
    <row r="378" ht="15.75" customHeight="1">
      <c r="C378" s="20"/>
      <c r="D378" s="20"/>
      <c r="E378" s="20"/>
      <c r="F378" s="21"/>
      <c r="G378" s="21"/>
    </row>
    <row r="379" ht="15.75" customHeight="1">
      <c r="C379" s="20"/>
      <c r="D379" s="20"/>
      <c r="E379" s="20"/>
      <c r="F379" s="21"/>
      <c r="G379" s="21"/>
    </row>
    <row r="380" ht="15.75" customHeight="1">
      <c r="C380" s="20"/>
      <c r="D380" s="20"/>
      <c r="E380" s="20"/>
      <c r="F380" s="21"/>
      <c r="G380" s="21"/>
    </row>
    <row r="381" ht="15.75" customHeight="1">
      <c r="C381" s="20"/>
      <c r="D381" s="20"/>
      <c r="E381" s="20"/>
      <c r="F381" s="21"/>
      <c r="G381" s="21"/>
    </row>
    <row r="382" ht="15.75" customHeight="1">
      <c r="C382" s="20"/>
      <c r="D382" s="20"/>
      <c r="E382" s="20"/>
      <c r="F382" s="21"/>
      <c r="G382" s="21"/>
    </row>
    <row r="383" ht="15.75" customHeight="1">
      <c r="C383" s="20"/>
      <c r="D383" s="20"/>
      <c r="E383" s="20"/>
      <c r="F383" s="21"/>
      <c r="G383" s="21"/>
    </row>
    <row r="384" ht="15.75" customHeight="1">
      <c r="C384" s="20"/>
      <c r="D384" s="20"/>
      <c r="E384" s="20"/>
      <c r="F384" s="21"/>
      <c r="G384" s="21"/>
    </row>
    <row r="385" ht="15.75" customHeight="1">
      <c r="C385" s="20"/>
      <c r="D385" s="20"/>
      <c r="E385" s="20"/>
      <c r="F385" s="21"/>
      <c r="G385" s="21"/>
    </row>
    <row r="386" ht="15.75" customHeight="1">
      <c r="C386" s="20"/>
      <c r="D386" s="20"/>
      <c r="E386" s="20"/>
      <c r="F386" s="21"/>
      <c r="G386" s="21"/>
    </row>
    <row r="387" ht="15.75" customHeight="1">
      <c r="C387" s="20"/>
      <c r="D387" s="20"/>
      <c r="E387" s="20"/>
      <c r="F387" s="21"/>
      <c r="G387" s="21"/>
    </row>
    <row r="388" ht="15.75" customHeight="1">
      <c r="C388" s="20"/>
      <c r="D388" s="20"/>
      <c r="E388" s="20"/>
      <c r="F388" s="21"/>
      <c r="G388" s="21"/>
    </row>
    <row r="389" ht="15.75" customHeight="1">
      <c r="C389" s="20"/>
      <c r="D389" s="20"/>
      <c r="E389" s="20"/>
      <c r="F389" s="21"/>
      <c r="G389" s="21"/>
    </row>
    <row r="390" ht="15.75" customHeight="1">
      <c r="C390" s="20"/>
      <c r="D390" s="20"/>
      <c r="E390" s="20"/>
      <c r="F390" s="21"/>
      <c r="G390" s="21"/>
    </row>
    <row r="391" ht="15.75" customHeight="1">
      <c r="C391" s="20"/>
      <c r="D391" s="20"/>
      <c r="E391" s="20"/>
      <c r="F391" s="21"/>
      <c r="G391" s="21"/>
    </row>
    <row r="392" ht="15.75" customHeight="1">
      <c r="C392" s="20"/>
      <c r="D392" s="20"/>
      <c r="E392" s="20"/>
      <c r="F392" s="21"/>
      <c r="G392" s="21"/>
    </row>
    <row r="393" ht="15.75" customHeight="1">
      <c r="C393" s="20"/>
      <c r="D393" s="20"/>
      <c r="E393" s="20"/>
      <c r="F393" s="21"/>
      <c r="G393" s="21"/>
    </row>
    <row r="394" ht="15.75" customHeight="1">
      <c r="C394" s="20"/>
      <c r="D394" s="20"/>
      <c r="E394" s="20"/>
      <c r="F394" s="21"/>
      <c r="G394" s="21"/>
    </row>
    <row r="395" ht="15.75" customHeight="1">
      <c r="C395" s="20"/>
      <c r="D395" s="20"/>
      <c r="E395" s="20"/>
      <c r="F395" s="21"/>
      <c r="G395" s="21"/>
    </row>
    <row r="396" ht="15.75" customHeight="1">
      <c r="C396" s="20"/>
      <c r="D396" s="20"/>
      <c r="E396" s="20"/>
      <c r="F396" s="21"/>
      <c r="G396" s="21"/>
    </row>
    <row r="397" ht="15.75" customHeight="1">
      <c r="C397" s="20"/>
      <c r="D397" s="20"/>
      <c r="E397" s="20"/>
      <c r="F397" s="21"/>
      <c r="G397" s="21"/>
    </row>
    <row r="398" ht="15.75" customHeight="1">
      <c r="C398" s="20"/>
      <c r="D398" s="20"/>
      <c r="E398" s="20"/>
      <c r="F398" s="21"/>
      <c r="G398" s="21"/>
    </row>
    <row r="399" ht="15.75" customHeight="1">
      <c r="C399" s="20"/>
      <c r="D399" s="20"/>
      <c r="E399" s="20"/>
      <c r="F399" s="21"/>
      <c r="G399" s="21"/>
    </row>
    <row r="400" ht="15.75" customHeight="1">
      <c r="C400" s="20"/>
      <c r="D400" s="20"/>
      <c r="E400" s="20"/>
      <c r="F400" s="21"/>
      <c r="G400" s="21"/>
    </row>
    <row r="401" ht="15.75" customHeight="1">
      <c r="C401" s="20"/>
      <c r="D401" s="20"/>
      <c r="E401" s="20"/>
      <c r="F401" s="21"/>
      <c r="G401" s="21"/>
    </row>
    <row r="402" ht="15.75" customHeight="1">
      <c r="C402" s="20"/>
      <c r="D402" s="20"/>
      <c r="E402" s="20"/>
      <c r="F402" s="21"/>
      <c r="G402" s="21"/>
    </row>
    <row r="403" ht="15.75" customHeight="1">
      <c r="C403" s="20"/>
      <c r="D403" s="20"/>
      <c r="E403" s="20"/>
      <c r="F403" s="21"/>
      <c r="G403" s="21"/>
    </row>
    <row r="404" ht="15.75" customHeight="1">
      <c r="C404" s="20"/>
      <c r="D404" s="20"/>
      <c r="E404" s="20"/>
      <c r="F404" s="21"/>
      <c r="G404" s="21"/>
    </row>
    <row r="405" ht="15.75" customHeight="1">
      <c r="C405" s="20"/>
      <c r="D405" s="20"/>
      <c r="E405" s="20"/>
      <c r="F405" s="21"/>
      <c r="G405" s="21"/>
    </row>
    <row r="406" ht="15.75" customHeight="1">
      <c r="C406" s="20"/>
      <c r="D406" s="20"/>
      <c r="E406" s="20"/>
      <c r="F406" s="21"/>
      <c r="G406" s="21"/>
    </row>
    <row r="407" ht="15.75" customHeight="1">
      <c r="C407" s="20"/>
      <c r="D407" s="20"/>
      <c r="E407" s="20"/>
      <c r="F407" s="21"/>
      <c r="G407" s="21"/>
    </row>
    <row r="408" ht="15.75" customHeight="1">
      <c r="C408" s="20"/>
      <c r="D408" s="20"/>
      <c r="E408" s="20"/>
      <c r="F408" s="21"/>
      <c r="G408" s="21"/>
    </row>
    <row r="409" ht="15.75" customHeight="1">
      <c r="C409" s="20"/>
      <c r="D409" s="20"/>
      <c r="E409" s="20"/>
      <c r="F409" s="21"/>
      <c r="G409" s="21"/>
    </row>
    <row r="410" ht="15.75" customHeight="1">
      <c r="C410" s="20"/>
      <c r="D410" s="20"/>
      <c r="E410" s="20"/>
      <c r="F410" s="21"/>
      <c r="G410" s="21"/>
    </row>
    <row r="411" ht="15.75" customHeight="1">
      <c r="C411" s="20"/>
      <c r="D411" s="20"/>
      <c r="E411" s="20"/>
      <c r="F411" s="21"/>
      <c r="G411" s="21"/>
    </row>
    <row r="412" ht="15.75" customHeight="1">
      <c r="C412" s="20"/>
      <c r="D412" s="20"/>
      <c r="E412" s="20"/>
      <c r="F412" s="21"/>
      <c r="G412" s="21"/>
    </row>
    <row r="413" ht="15.75" customHeight="1">
      <c r="C413" s="20"/>
      <c r="D413" s="20"/>
      <c r="E413" s="20"/>
      <c r="F413" s="21"/>
      <c r="G413" s="21"/>
    </row>
    <row r="414" ht="15.75" customHeight="1">
      <c r="C414" s="20"/>
      <c r="D414" s="20"/>
      <c r="E414" s="20"/>
      <c r="F414" s="21"/>
      <c r="G414" s="21"/>
    </row>
    <row r="415" ht="15.75" customHeight="1">
      <c r="C415" s="20"/>
      <c r="D415" s="20"/>
      <c r="E415" s="20"/>
      <c r="F415" s="21"/>
      <c r="G415" s="21"/>
    </row>
    <row r="416" ht="15.75" customHeight="1">
      <c r="C416" s="20"/>
      <c r="D416" s="20"/>
      <c r="E416" s="20"/>
      <c r="F416" s="21"/>
      <c r="G416" s="21"/>
    </row>
    <row r="417" ht="15.75" customHeight="1">
      <c r="C417" s="20"/>
      <c r="D417" s="20"/>
      <c r="E417" s="20"/>
      <c r="F417" s="21"/>
      <c r="G417" s="21"/>
    </row>
    <row r="418" ht="15.75" customHeight="1">
      <c r="C418" s="20"/>
      <c r="D418" s="20"/>
      <c r="E418" s="20"/>
      <c r="F418" s="21"/>
      <c r="G418" s="21"/>
    </row>
    <row r="419" ht="15.75" customHeight="1">
      <c r="C419" s="20"/>
      <c r="D419" s="20"/>
      <c r="E419" s="20"/>
      <c r="F419" s="21"/>
      <c r="G419" s="21"/>
    </row>
    <row r="420" ht="15.75" customHeight="1">
      <c r="C420" s="20"/>
      <c r="D420" s="20"/>
      <c r="E420" s="20"/>
      <c r="F420" s="21"/>
      <c r="G420" s="21"/>
    </row>
    <row r="421" ht="15.75" customHeight="1">
      <c r="C421" s="20"/>
      <c r="D421" s="20"/>
      <c r="E421" s="20"/>
      <c r="F421" s="21"/>
      <c r="G421" s="21"/>
    </row>
    <row r="422" ht="15.75" customHeight="1">
      <c r="C422" s="20"/>
      <c r="D422" s="20"/>
      <c r="E422" s="20"/>
      <c r="F422" s="21"/>
      <c r="G422" s="21"/>
    </row>
    <row r="423" ht="15.75" customHeight="1">
      <c r="C423" s="20"/>
      <c r="D423" s="20"/>
      <c r="E423" s="20"/>
      <c r="F423" s="21"/>
      <c r="G423" s="21"/>
    </row>
    <row r="424" ht="15.75" customHeight="1">
      <c r="C424" s="20"/>
      <c r="D424" s="20"/>
      <c r="E424" s="20"/>
      <c r="F424" s="21"/>
      <c r="G424" s="21"/>
    </row>
    <row r="425" ht="15.75" customHeight="1">
      <c r="C425" s="20"/>
      <c r="D425" s="20"/>
      <c r="E425" s="20"/>
      <c r="F425" s="21"/>
      <c r="G425" s="21"/>
    </row>
    <row r="426" ht="15.75" customHeight="1">
      <c r="C426" s="20"/>
      <c r="D426" s="20"/>
      <c r="E426" s="20"/>
      <c r="F426" s="21"/>
      <c r="G426" s="21"/>
    </row>
    <row r="427" ht="15.75" customHeight="1">
      <c r="C427" s="20"/>
      <c r="D427" s="20"/>
      <c r="E427" s="20"/>
      <c r="F427" s="21"/>
      <c r="G427" s="21"/>
    </row>
    <row r="428" ht="15.75" customHeight="1">
      <c r="C428" s="20"/>
      <c r="D428" s="20"/>
      <c r="E428" s="20"/>
      <c r="F428" s="21"/>
      <c r="G428" s="21"/>
    </row>
    <row r="429" ht="15.75" customHeight="1">
      <c r="C429" s="20"/>
      <c r="D429" s="20"/>
      <c r="E429" s="20"/>
      <c r="F429" s="21"/>
      <c r="G429" s="21"/>
    </row>
    <row r="430" ht="15.75" customHeight="1">
      <c r="C430" s="20"/>
      <c r="D430" s="20"/>
      <c r="E430" s="20"/>
      <c r="F430" s="21"/>
      <c r="G430" s="21"/>
    </row>
    <row r="431" ht="15.75" customHeight="1">
      <c r="C431" s="20"/>
      <c r="D431" s="20"/>
      <c r="E431" s="20"/>
      <c r="F431" s="21"/>
      <c r="G431" s="21"/>
    </row>
    <row r="432" ht="15.75" customHeight="1">
      <c r="C432" s="20"/>
      <c r="D432" s="20"/>
      <c r="E432" s="20"/>
      <c r="F432" s="21"/>
      <c r="G432" s="21"/>
    </row>
    <row r="433" ht="15.75" customHeight="1">
      <c r="C433" s="20"/>
      <c r="D433" s="20"/>
      <c r="E433" s="20"/>
      <c r="F433" s="21"/>
      <c r="G433" s="21"/>
    </row>
    <row r="434" ht="15.75" customHeight="1">
      <c r="C434" s="20"/>
      <c r="D434" s="20"/>
      <c r="E434" s="20"/>
      <c r="F434" s="21"/>
      <c r="G434" s="21"/>
    </row>
    <row r="435" ht="15.75" customHeight="1">
      <c r="C435" s="20"/>
      <c r="D435" s="20"/>
      <c r="E435" s="20"/>
      <c r="F435" s="21"/>
      <c r="G435" s="21"/>
    </row>
    <row r="436" ht="15.75" customHeight="1">
      <c r="C436" s="20"/>
      <c r="D436" s="20"/>
      <c r="E436" s="20"/>
      <c r="F436" s="21"/>
      <c r="G436" s="21"/>
    </row>
    <row r="437" ht="15.75" customHeight="1">
      <c r="C437" s="20"/>
      <c r="D437" s="20"/>
      <c r="E437" s="20"/>
      <c r="F437" s="21"/>
      <c r="G437" s="21"/>
    </row>
    <row r="438" ht="15.75" customHeight="1">
      <c r="C438" s="20"/>
      <c r="D438" s="20"/>
      <c r="E438" s="20"/>
      <c r="F438" s="21"/>
      <c r="G438" s="21"/>
    </row>
    <row r="439" ht="15.75" customHeight="1">
      <c r="C439" s="20"/>
      <c r="D439" s="20"/>
      <c r="E439" s="20"/>
      <c r="F439" s="21"/>
      <c r="G439" s="21"/>
    </row>
    <row r="440" ht="15.75" customHeight="1">
      <c r="C440" s="20"/>
      <c r="D440" s="20"/>
      <c r="E440" s="20"/>
      <c r="F440" s="21"/>
      <c r="G440" s="21"/>
    </row>
    <row r="441" ht="15.75" customHeight="1">
      <c r="C441" s="20"/>
      <c r="D441" s="20"/>
      <c r="E441" s="20"/>
      <c r="F441" s="21"/>
      <c r="G441" s="21"/>
    </row>
    <row r="442" ht="15.75" customHeight="1">
      <c r="C442" s="20"/>
      <c r="D442" s="20"/>
      <c r="E442" s="20"/>
      <c r="F442" s="21"/>
      <c r="G442" s="21"/>
    </row>
    <row r="443" ht="15.75" customHeight="1">
      <c r="C443" s="20"/>
      <c r="D443" s="20"/>
      <c r="E443" s="20"/>
      <c r="F443" s="21"/>
      <c r="G443" s="21"/>
    </row>
    <row r="444" ht="15.75" customHeight="1">
      <c r="C444" s="20"/>
      <c r="D444" s="20"/>
      <c r="E444" s="20"/>
      <c r="F444" s="21"/>
      <c r="G444" s="21"/>
    </row>
    <row r="445" ht="15.75" customHeight="1">
      <c r="C445" s="20"/>
      <c r="D445" s="20"/>
      <c r="E445" s="20"/>
      <c r="F445" s="21"/>
      <c r="G445" s="21"/>
    </row>
    <row r="446" ht="15.75" customHeight="1">
      <c r="C446" s="20"/>
      <c r="D446" s="20"/>
      <c r="E446" s="20"/>
      <c r="F446" s="21"/>
      <c r="G446" s="21"/>
    </row>
    <row r="447" ht="15.75" customHeight="1">
      <c r="C447" s="20"/>
      <c r="D447" s="20"/>
      <c r="E447" s="20"/>
      <c r="F447" s="21"/>
      <c r="G447" s="21"/>
    </row>
    <row r="448" ht="15.75" customHeight="1">
      <c r="C448" s="20"/>
      <c r="D448" s="20"/>
      <c r="E448" s="20"/>
      <c r="F448" s="21"/>
      <c r="G448" s="21"/>
    </row>
    <row r="449" ht="15.75" customHeight="1">
      <c r="C449" s="20"/>
      <c r="D449" s="20"/>
      <c r="E449" s="20"/>
      <c r="F449" s="21"/>
      <c r="G449" s="21"/>
    </row>
    <row r="450" ht="15.75" customHeight="1">
      <c r="C450" s="20"/>
      <c r="D450" s="20"/>
      <c r="E450" s="20"/>
      <c r="F450" s="21"/>
      <c r="G450" s="21"/>
    </row>
    <row r="451" ht="15.75" customHeight="1">
      <c r="C451" s="20"/>
      <c r="D451" s="20"/>
      <c r="E451" s="20"/>
      <c r="F451" s="21"/>
      <c r="G451" s="21"/>
    </row>
    <row r="452" ht="15.75" customHeight="1">
      <c r="C452" s="20"/>
      <c r="D452" s="20"/>
      <c r="E452" s="20"/>
      <c r="F452" s="21"/>
      <c r="G452" s="21"/>
    </row>
    <row r="453" ht="15.75" customHeight="1">
      <c r="C453" s="20"/>
      <c r="D453" s="20"/>
      <c r="E453" s="20"/>
      <c r="F453" s="21"/>
      <c r="G453" s="21"/>
    </row>
    <row r="454" ht="15.75" customHeight="1">
      <c r="C454" s="20"/>
      <c r="D454" s="20"/>
      <c r="E454" s="20"/>
      <c r="F454" s="21"/>
      <c r="G454" s="21"/>
    </row>
    <row r="455" ht="15.75" customHeight="1">
      <c r="C455" s="20"/>
      <c r="D455" s="20"/>
      <c r="E455" s="20"/>
      <c r="F455" s="21"/>
      <c r="G455" s="21"/>
    </row>
    <row r="456" ht="15.75" customHeight="1">
      <c r="C456" s="20"/>
      <c r="D456" s="20"/>
      <c r="E456" s="20"/>
      <c r="F456" s="21"/>
      <c r="G456" s="21"/>
    </row>
    <row r="457" ht="15.75" customHeight="1">
      <c r="C457" s="20"/>
      <c r="D457" s="20"/>
      <c r="E457" s="20"/>
      <c r="F457" s="21"/>
      <c r="G457" s="21"/>
    </row>
    <row r="458" ht="15.75" customHeight="1">
      <c r="C458" s="20"/>
      <c r="D458" s="20"/>
      <c r="E458" s="20"/>
      <c r="F458" s="21"/>
      <c r="G458" s="21"/>
    </row>
    <row r="459" ht="15.75" customHeight="1">
      <c r="C459" s="20"/>
      <c r="D459" s="20"/>
      <c r="E459" s="20"/>
      <c r="F459" s="21"/>
      <c r="G459" s="21"/>
    </row>
    <row r="460" ht="15.75" customHeight="1">
      <c r="C460" s="20"/>
      <c r="D460" s="20"/>
      <c r="E460" s="20"/>
      <c r="F460" s="21"/>
      <c r="G460" s="21"/>
    </row>
    <row r="461" ht="15.75" customHeight="1">
      <c r="C461" s="20"/>
      <c r="D461" s="20"/>
      <c r="E461" s="20"/>
      <c r="F461" s="21"/>
      <c r="G461" s="21"/>
    </row>
    <row r="462" ht="15.75" customHeight="1">
      <c r="C462" s="20"/>
      <c r="D462" s="20"/>
      <c r="E462" s="20"/>
      <c r="F462" s="21"/>
      <c r="G462" s="21"/>
    </row>
    <row r="463" ht="15.75" customHeight="1">
      <c r="C463" s="20"/>
      <c r="D463" s="20"/>
      <c r="E463" s="20"/>
      <c r="F463" s="21"/>
      <c r="G463" s="21"/>
    </row>
    <row r="464" ht="15.75" customHeight="1">
      <c r="C464" s="20"/>
      <c r="D464" s="20"/>
      <c r="E464" s="20"/>
      <c r="F464" s="21"/>
      <c r="G464" s="21"/>
    </row>
    <row r="465" ht="15.75" customHeight="1">
      <c r="C465" s="20"/>
      <c r="D465" s="20"/>
      <c r="E465" s="20"/>
      <c r="F465" s="21"/>
      <c r="G465" s="21"/>
    </row>
    <row r="466" ht="15.75" customHeight="1">
      <c r="C466" s="20"/>
      <c r="D466" s="20"/>
      <c r="E466" s="20"/>
      <c r="F466" s="21"/>
      <c r="G466" s="21"/>
    </row>
    <row r="467" ht="15.75" customHeight="1">
      <c r="C467" s="20"/>
      <c r="D467" s="20"/>
      <c r="E467" s="20"/>
      <c r="F467" s="21"/>
      <c r="G467" s="21"/>
    </row>
    <row r="468" ht="15.75" customHeight="1">
      <c r="C468" s="20"/>
      <c r="D468" s="20"/>
      <c r="E468" s="20"/>
      <c r="F468" s="21"/>
      <c r="G468" s="21"/>
    </row>
    <row r="469" ht="15.75" customHeight="1">
      <c r="C469" s="20"/>
      <c r="D469" s="20"/>
      <c r="E469" s="20"/>
      <c r="F469" s="21"/>
      <c r="G469" s="21"/>
    </row>
    <row r="470" ht="15.75" customHeight="1">
      <c r="C470" s="20"/>
      <c r="D470" s="20"/>
      <c r="E470" s="20"/>
      <c r="F470" s="21"/>
      <c r="G470" s="21"/>
    </row>
    <row r="471" ht="15.75" customHeight="1">
      <c r="C471" s="20"/>
      <c r="D471" s="20"/>
      <c r="E471" s="20"/>
      <c r="F471" s="21"/>
      <c r="G471" s="21"/>
    </row>
    <row r="472" ht="15.75" customHeight="1">
      <c r="C472" s="20"/>
      <c r="D472" s="20"/>
      <c r="E472" s="20"/>
      <c r="F472" s="21"/>
      <c r="G472" s="21"/>
    </row>
    <row r="473" ht="15.75" customHeight="1">
      <c r="C473" s="20"/>
      <c r="D473" s="20"/>
      <c r="E473" s="20"/>
      <c r="F473" s="21"/>
      <c r="G473" s="21"/>
    </row>
    <row r="474" ht="15.75" customHeight="1">
      <c r="C474" s="20"/>
      <c r="D474" s="20"/>
      <c r="E474" s="20"/>
      <c r="F474" s="21"/>
      <c r="G474" s="21"/>
    </row>
    <row r="475" ht="15.75" customHeight="1">
      <c r="C475" s="20"/>
      <c r="D475" s="20"/>
      <c r="E475" s="20"/>
      <c r="F475" s="21"/>
      <c r="G475" s="21"/>
    </row>
    <row r="476" ht="15.75" customHeight="1">
      <c r="C476" s="20"/>
      <c r="D476" s="20"/>
      <c r="E476" s="20"/>
      <c r="F476" s="21"/>
      <c r="G476" s="21"/>
    </row>
    <row r="477" ht="15.75" customHeight="1">
      <c r="C477" s="20"/>
      <c r="D477" s="20"/>
      <c r="E477" s="20"/>
      <c r="F477" s="21"/>
      <c r="G477" s="21"/>
    </row>
    <row r="478" ht="15.75" customHeight="1">
      <c r="C478" s="20"/>
      <c r="D478" s="20"/>
      <c r="E478" s="20"/>
      <c r="F478" s="21"/>
      <c r="G478" s="21"/>
    </row>
    <row r="479" ht="15.75" customHeight="1">
      <c r="C479" s="20"/>
      <c r="D479" s="20"/>
      <c r="E479" s="20"/>
      <c r="F479" s="21"/>
      <c r="G479" s="21"/>
    </row>
    <row r="480" ht="15.75" customHeight="1">
      <c r="C480" s="20"/>
      <c r="D480" s="20"/>
      <c r="E480" s="20"/>
      <c r="F480" s="21"/>
      <c r="G480" s="21"/>
    </row>
    <row r="481" ht="15.75" customHeight="1">
      <c r="C481" s="20"/>
      <c r="D481" s="20"/>
      <c r="E481" s="20"/>
      <c r="F481" s="21"/>
      <c r="G481" s="21"/>
    </row>
    <row r="482" ht="15.75" customHeight="1">
      <c r="C482" s="20"/>
      <c r="D482" s="20"/>
      <c r="E482" s="20"/>
      <c r="F482" s="21"/>
      <c r="G482" s="21"/>
    </row>
    <row r="483" ht="15.75" customHeight="1">
      <c r="C483" s="20"/>
      <c r="D483" s="20"/>
      <c r="E483" s="20"/>
      <c r="F483" s="21"/>
      <c r="G483" s="21"/>
    </row>
    <row r="484" ht="15.75" customHeight="1">
      <c r="C484" s="20"/>
      <c r="D484" s="20"/>
      <c r="E484" s="20"/>
      <c r="F484" s="21"/>
      <c r="G484" s="21"/>
    </row>
    <row r="485" ht="15.75" customHeight="1">
      <c r="C485" s="20"/>
      <c r="D485" s="20"/>
      <c r="E485" s="20"/>
      <c r="F485" s="21"/>
      <c r="G485" s="21"/>
    </row>
    <row r="486" ht="15.75" customHeight="1">
      <c r="C486" s="20"/>
      <c r="D486" s="20"/>
      <c r="E486" s="20"/>
      <c r="F486" s="21"/>
      <c r="G486" s="21"/>
    </row>
    <row r="487" ht="15.75" customHeight="1">
      <c r="C487" s="20"/>
      <c r="D487" s="20"/>
      <c r="E487" s="20"/>
      <c r="F487" s="21"/>
      <c r="G487" s="21"/>
    </row>
    <row r="488" ht="15.75" customHeight="1">
      <c r="C488" s="20"/>
      <c r="D488" s="20"/>
      <c r="E488" s="20"/>
      <c r="F488" s="21"/>
      <c r="G488" s="21"/>
    </row>
    <row r="489" ht="15.75" customHeight="1">
      <c r="C489" s="20"/>
      <c r="D489" s="20"/>
      <c r="E489" s="20"/>
      <c r="F489" s="21"/>
      <c r="G489" s="21"/>
    </row>
    <row r="490" ht="15.75" customHeight="1">
      <c r="C490" s="20"/>
      <c r="D490" s="20"/>
      <c r="E490" s="20"/>
      <c r="F490" s="21"/>
      <c r="G490" s="21"/>
    </row>
    <row r="491" ht="15.75" customHeight="1">
      <c r="C491" s="20"/>
      <c r="D491" s="20"/>
      <c r="E491" s="20"/>
      <c r="F491" s="21"/>
      <c r="G491" s="21"/>
    </row>
    <row r="492" ht="15.75" customHeight="1">
      <c r="C492" s="20"/>
      <c r="D492" s="20"/>
      <c r="E492" s="20"/>
      <c r="F492" s="21"/>
      <c r="G492" s="21"/>
    </row>
    <row r="493" ht="15.75" customHeight="1">
      <c r="C493" s="20"/>
      <c r="D493" s="20"/>
      <c r="E493" s="20"/>
      <c r="F493" s="21"/>
      <c r="G493" s="21"/>
    </row>
    <row r="494" ht="15.75" customHeight="1">
      <c r="C494" s="20"/>
      <c r="D494" s="20"/>
      <c r="E494" s="20"/>
      <c r="F494" s="21"/>
      <c r="G494" s="21"/>
    </row>
    <row r="495" ht="15.75" customHeight="1">
      <c r="C495" s="20"/>
      <c r="D495" s="20"/>
      <c r="E495" s="20"/>
      <c r="F495" s="21"/>
      <c r="G495" s="21"/>
    </row>
    <row r="496" ht="15.75" customHeight="1">
      <c r="C496" s="20"/>
      <c r="D496" s="20"/>
      <c r="E496" s="20"/>
      <c r="F496" s="21"/>
      <c r="G496" s="21"/>
    </row>
    <row r="497" ht="15.75" customHeight="1">
      <c r="C497" s="20"/>
      <c r="D497" s="20"/>
      <c r="E497" s="20"/>
      <c r="F497" s="21"/>
      <c r="G497" s="21"/>
    </row>
    <row r="498" ht="15.75" customHeight="1">
      <c r="C498" s="20"/>
      <c r="D498" s="20"/>
      <c r="E498" s="20"/>
      <c r="F498" s="21"/>
      <c r="G498" s="21"/>
    </row>
    <row r="499" ht="15.75" customHeight="1">
      <c r="C499" s="20"/>
      <c r="D499" s="20"/>
      <c r="E499" s="20"/>
      <c r="F499" s="21"/>
      <c r="G499" s="21"/>
    </row>
    <row r="500" ht="15.75" customHeight="1">
      <c r="C500" s="20"/>
      <c r="D500" s="20"/>
      <c r="E500" s="20"/>
      <c r="F500" s="21"/>
      <c r="G500" s="21"/>
    </row>
    <row r="501" ht="15.75" customHeight="1">
      <c r="C501" s="20"/>
      <c r="D501" s="20"/>
      <c r="E501" s="20"/>
      <c r="F501" s="21"/>
      <c r="G501" s="21"/>
    </row>
    <row r="502" ht="15.75" customHeight="1">
      <c r="C502" s="20"/>
      <c r="D502" s="20"/>
      <c r="E502" s="20"/>
      <c r="F502" s="21"/>
      <c r="G502" s="21"/>
    </row>
    <row r="503" ht="15.75" customHeight="1">
      <c r="C503" s="20"/>
      <c r="D503" s="20"/>
      <c r="E503" s="20"/>
      <c r="F503" s="21"/>
      <c r="G503" s="21"/>
    </row>
    <row r="504" ht="15.75" customHeight="1">
      <c r="C504" s="20"/>
      <c r="D504" s="20"/>
      <c r="E504" s="20"/>
      <c r="F504" s="21"/>
      <c r="G504" s="21"/>
    </row>
    <row r="505" ht="15.75" customHeight="1">
      <c r="C505" s="20"/>
      <c r="D505" s="20"/>
      <c r="E505" s="20"/>
      <c r="F505" s="21"/>
      <c r="G505" s="21"/>
    </row>
    <row r="506" ht="15.75" customHeight="1">
      <c r="C506" s="20"/>
      <c r="D506" s="20"/>
      <c r="E506" s="20"/>
      <c r="F506" s="21"/>
      <c r="G506" s="21"/>
    </row>
    <row r="507" ht="15.75" customHeight="1">
      <c r="C507" s="20"/>
      <c r="D507" s="20"/>
      <c r="E507" s="20"/>
      <c r="F507" s="21"/>
      <c r="G507" s="21"/>
    </row>
    <row r="508" ht="15.75" customHeight="1">
      <c r="C508" s="20"/>
      <c r="D508" s="20"/>
      <c r="E508" s="20"/>
      <c r="F508" s="21"/>
      <c r="G508" s="21"/>
    </row>
    <row r="509" ht="15.75" customHeight="1">
      <c r="C509" s="20"/>
      <c r="D509" s="20"/>
      <c r="E509" s="20"/>
      <c r="F509" s="21"/>
      <c r="G509" s="21"/>
    </row>
    <row r="510" ht="15.75" customHeight="1">
      <c r="C510" s="20"/>
      <c r="D510" s="20"/>
      <c r="E510" s="20"/>
      <c r="F510" s="21"/>
      <c r="G510" s="21"/>
    </row>
    <row r="511" ht="15.75" customHeight="1">
      <c r="C511" s="20"/>
      <c r="D511" s="20"/>
      <c r="E511" s="20"/>
      <c r="F511" s="21"/>
      <c r="G511" s="21"/>
    </row>
    <row r="512" ht="15.75" customHeight="1">
      <c r="C512" s="20"/>
      <c r="D512" s="20"/>
      <c r="E512" s="20"/>
      <c r="F512" s="21"/>
      <c r="G512" s="21"/>
    </row>
    <row r="513" ht="15.75" customHeight="1">
      <c r="C513" s="20"/>
      <c r="D513" s="20"/>
      <c r="E513" s="20"/>
      <c r="F513" s="21"/>
      <c r="G513" s="21"/>
    </row>
    <row r="514" ht="15.75" customHeight="1">
      <c r="C514" s="20"/>
      <c r="D514" s="20"/>
      <c r="E514" s="20"/>
      <c r="F514" s="21"/>
      <c r="G514" s="21"/>
    </row>
    <row r="515" ht="15.75" customHeight="1">
      <c r="C515" s="20"/>
      <c r="D515" s="20"/>
      <c r="E515" s="20"/>
      <c r="F515" s="21"/>
      <c r="G515" s="21"/>
    </row>
    <row r="516" ht="15.75" customHeight="1">
      <c r="C516" s="20"/>
      <c r="D516" s="20"/>
      <c r="E516" s="20"/>
      <c r="F516" s="21"/>
      <c r="G516" s="21"/>
    </row>
    <row r="517" ht="15.75" customHeight="1">
      <c r="C517" s="20"/>
      <c r="D517" s="20"/>
      <c r="E517" s="20"/>
      <c r="F517" s="21"/>
      <c r="G517" s="21"/>
    </row>
    <row r="518" ht="15.75" customHeight="1">
      <c r="C518" s="20"/>
      <c r="D518" s="20"/>
      <c r="E518" s="20"/>
      <c r="F518" s="21"/>
      <c r="G518" s="21"/>
    </row>
    <row r="519" ht="15.75" customHeight="1">
      <c r="C519" s="20"/>
      <c r="D519" s="20"/>
      <c r="E519" s="20"/>
      <c r="F519" s="21"/>
      <c r="G519" s="21"/>
    </row>
    <row r="520" ht="15.75" customHeight="1">
      <c r="C520" s="20"/>
      <c r="D520" s="20"/>
      <c r="E520" s="20"/>
      <c r="F520" s="21"/>
      <c r="G520" s="21"/>
    </row>
    <row r="521" ht="15.75" customHeight="1">
      <c r="C521" s="20"/>
      <c r="D521" s="20"/>
      <c r="E521" s="20"/>
      <c r="F521" s="21"/>
      <c r="G521" s="21"/>
    </row>
    <row r="522" ht="15.75" customHeight="1">
      <c r="C522" s="20"/>
      <c r="D522" s="20"/>
      <c r="E522" s="20"/>
      <c r="F522" s="21"/>
      <c r="G522" s="21"/>
    </row>
    <row r="523" ht="15.75" customHeight="1">
      <c r="C523" s="20"/>
      <c r="D523" s="20"/>
      <c r="E523" s="20"/>
      <c r="F523" s="21"/>
      <c r="G523" s="21"/>
    </row>
    <row r="524" ht="15.75" customHeight="1">
      <c r="C524" s="20"/>
      <c r="D524" s="20"/>
      <c r="E524" s="20"/>
      <c r="F524" s="21"/>
      <c r="G524" s="21"/>
    </row>
    <row r="525" ht="15.75" customHeight="1">
      <c r="C525" s="20"/>
      <c r="D525" s="20"/>
      <c r="E525" s="20"/>
      <c r="F525" s="21"/>
      <c r="G525" s="21"/>
    </row>
    <row r="526" ht="15.75" customHeight="1">
      <c r="C526" s="20"/>
      <c r="D526" s="20"/>
      <c r="E526" s="20"/>
      <c r="F526" s="21"/>
      <c r="G526" s="21"/>
    </row>
    <row r="527" ht="15.75" customHeight="1">
      <c r="C527" s="20"/>
      <c r="D527" s="20"/>
      <c r="E527" s="20"/>
      <c r="F527" s="21"/>
      <c r="G527" s="21"/>
    </row>
    <row r="528" ht="15.75" customHeight="1">
      <c r="C528" s="20"/>
      <c r="D528" s="20"/>
      <c r="E528" s="20"/>
      <c r="F528" s="21"/>
      <c r="G528" s="21"/>
    </row>
    <row r="529" ht="15.75" customHeight="1">
      <c r="C529" s="20"/>
      <c r="D529" s="20"/>
      <c r="E529" s="20"/>
      <c r="F529" s="21"/>
      <c r="G529" s="21"/>
    </row>
    <row r="530" ht="15.75" customHeight="1">
      <c r="C530" s="20"/>
      <c r="D530" s="20"/>
      <c r="E530" s="20"/>
      <c r="F530" s="21"/>
      <c r="G530" s="21"/>
    </row>
    <row r="531" ht="15.75" customHeight="1">
      <c r="C531" s="20"/>
      <c r="D531" s="20"/>
      <c r="E531" s="20"/>
      <c r="F531" s="21"/>
      <c r="G531" s="21"/>
    </row>
    <row r="532" ht="15.75" customHeight="1">
      <c r="C532" s="20"/>
      <c r="D532" s="20"/>
      <c r="E532" s="20"/>
      <c r="F532" s="21"/>
      <c r="G532" s="21"/>
    </row>
    <row r="533" ht="15.75" customHeight="1">
      <c r="C533" s="20"/>
      <c r="D533" s="20"/>
      <c r="E533" s="20"/>
      <c r="F533" s="21"/>
      <c r="G533" s="21"/>
    </row>
    <row r="534" ht="15.75" customHeight="1">
      <c r="C534" s="20"/>
      <c r="D534" s="20"/>
      <c r="E534" s="20"/>
      <c r="F534" s="21"/>
      <c r="G534" s="21"/>
    </row>
    <row r="535" ht="15.75" customHeight="1">
      <c r="C535" s="20"/>
      <c r="D535" s="20"/>
      <c r="E535" s="20"/>
      <c r="F535" s="21"/>
      <c r="G535" s="21"/>
    </row>
    <row r="536" ht="15.75" customHeight="1">
      <c r="C536" s="20"/>
      <c r="D536" s="20"/>
      <c r="E536" s="20"/>
      <c r="F536" s="21"/>
      <c r="G536" s="21"/>
    </row>
    <row r="537" ht="15.75" customHeight="1">
      <c r="C537" s="20"/>
      <c r="D537" s="20"/>
      <c r="E537" s="20"/>
      <c r="F537" s="21"/>
      <c r="G537" s="21"/>
    </row>
    <row r="538" ht="15.75" customHeight="1">
      <c r="C538" s="20"/>
      <c r="D538" s="20"/>
      <c r="E538" s="20"/>
      <c r="F538" s="21"/>
      <c r="G538" s="21"/>
    </row>
    <row r="539" ht="15.75" customHeight="1">
      <c r="C539" s="20"/>
      <c r="D539" s="20"/>
      <c r="E539" s="20"/>
      <c r="F539" s="21"/>
      <c r="G539" s="21"/>
    </row>
    <row r="540" ht="15.75" customHeight="1">
      <c r="C540" s="20"/>
      <c r="D540" s="20"/>
      <c r="E540" s="20"/>
      <c r="F540" s="21"/>
      <c r="G540" s="21"/>
    </row>
    <row r="541" ht="15.75" customHeight="1">
      <c r="C541" s="20"/>
      <c r="D541" s="20"/>
      <c r="E541" s="20"/>
      <c r="F541" s="21"/>
      <c r="G541" s="21"/>
    </row>
    <row r="542" ht="15.75" customHeight="1">
      <c r="C542" s="20"/>
      <c r="D542" s="20"/>
      <c r="E542" s="20"/>
      <c r="F542" s="21"/>
      <c r="G542" s="21"/>
    </row>
    <row r="543" ht="15.75" customHeight="1">
      <c r="C543" s="20"/>
      <c r="D543" s="20"/>
      <c r="E543" s="20"/>
      <c r="F543" s="21"/>
      <c r="G543" s="21"/>
    </row>
    <row r="544" ht="15.75" customHeight="1">
      <c r="C544" s="20"/>
      <c r="D544" s="20"/>
      <c r="E544" s="20"/>
      <c r="F544" s="21"/>
      <c r="G544" s="21"/>
    </row>
    <row r="545" ht="15.75" customHeight="1">
      <c r="C545" s="20"/>
      <c r="D545" s="20"/>
      <c r="E545" s="20"/>
      <c r="F545" s="21"/>
      <c r="G545" s="21"/>
    </row>
    <row r="546" ht="15.75" customHeight="1">
      <c r="C546" s="20"/>
      <c r="D546" s="20"/>
      <c r="E546" s="20"/>
      <c r="F546" s="21"/>
      <c r="G546" s="21"/>
    </row>
    <row r="547" ht="15.75" customHeight="1">
      <c r="C547" s="20"/>
      <c r="D547" s="20"/>
      <c r="E547" s="20"/>
      <c r="F547" s="21"/>
      <c r="G547" s="21"/>
    </row>
    <row r="548" ht="15.75" customHeight="1">
      <c r="C548" s="20"/>
      <c r="D548" s="20"/>
      <c r="E548" s="20"/>
      <c r="F548" s="21"/>
      <c r="G548" s="21"/>
    </row>
    <row r="549" ht="15.75" customHeight="1">
      <c r="C549" s="20"/>
      <c r="D549" s="20"/>
      <c r="E549" s="20"/>
      <c r="F549" s="21"/>
      <c r="G549" s="21"/>
    </row>
    <row r="550" ht="15.75" customHeight="1">
      <c r="C550" s="20"/>
      <c r="D550" s="20"/>
      <c r="E550" s="20"/>
      <c r="F550" s="21"/>
      <c r="G550" s="21"/>
    </row>
    <row r="551" ht="15.75" customHeight="1">
      <c r="C551" s="20"/>
      <c r="D551" s="20"/>
      <c r="E551" s="20"/>
      <c r="F551" s="21"/>
      <c r="G551" s="21"/>
    </row>
    <row r="552" ht="15.75" customHeight="1">
      <c r="C552" s="20"/>
      <c r="D552" s="20"/>
      <c r="E552" s="20"/>
      <c r="F552" s="21"/>
      <c r="G552" s="21"/>
    </row>
    <row r="553" ht="15.75" customHeight="1">
      <c r="C553" s="20"/>
      <c r="D553" s="20"/>
      <c r="E553" s="20"/>
      <c r="F553" s="21"/>
      <c r="G553" s="21"/>
    </row>
    <row r="554" ht="15.75" customHeight="1">
      <c r="C554" s="20"/>
      <c r="D554" s="20"/>
      <c r="E554" s="20"/>
      <c r="F554" s="21"/>
      <c r="G554" s="21"/>
    </row>
    <row r="555" ht="15.75" customHeight="1">
      <c r="C555" s="20"/>
      <c r="D555" s="20"/>
      <c r="E555" s="20"/>
      <c r="F555" s="21"/>
      <c r="G555" s="21"/>
    </row>
    <row r="556" ht="15.75" customHeight="1">
      <c r="C556" s="20"/>
      <c r="D556" s="20"/>
      <c r="E556" s="20"/>
      <c r="F556" s="21"/>
      <c r="G556" s="21"/>
    </row>
    <row r="557" ht="15.75" customHeight="1">
      <c r="C557" s="20"/>
      <c r="D557" s="20"/>
      <c r="E557" s="20"/>
      <c r="F557" s="21"/>
      <c r="G557" s="21"/>
    </row>
    <row r="558" ht="15.75" customHeight="1">
      <c r="C558" s="20"/>
      <c r="D558" s="20"/>
      <c r="E558" s="20"/>
      <c r="F558" s="21"/>
      <c r="G558" s="21"/>
    </row>
    <row r="559" ht="15.75" customHeight="1">
      <c r="C559" s="20"/>
      <c r="D559" s="20"/>
      <c r="E559" s="20"/>
      <c r="F559" s="21"/>
      <c r="G559" s="21"/>
    </row>
    <row r="560" ht="15.75" customHeight="1">
      <c r="C560" s="20"/>
      <c r="D560" s="20"/>
      <c r="E560" s="20"/>
      <c r="F560" s="21"/>
      <c r="G560" s="21"/>
    </row>
    <row r="561" ht="15.75" customHeight="1">
      <c r="C561" s="20"/>
      <c r="D561" s="20"/>
      <c r="E561" s="20"/>
      <c r="F561" s="21"/>
      <c r="G561" s="21"/>
    </row>
    <row r="562" ht="15.75" customHeight="1">
      <c r="C562" s="20"/>
      <c r="D562" s="20"/>
      <c r="E562" s="20"/>
      <c r="F562" s="21"/>
      <c r="G562" s="21"/>
    </row>
    <row r="563" ht="15.75" customHeight="1">
      <c r="C563" s="20"/>
      <c r="D563" s="20"/>
      <c r="E563" s="20"/>
      <c r="F563" s="21"/>
      <c r="G563" s="21"/>
    </row>
    <row r="564" ht="15.75" customHeight="1">
      <c r="C564" s="20"/>
      <c r="D564" s="20"/>
      <c r="E564" s="20"/>
      <c r="F564" s="21"/>
      <c r="G564" s="21"/>
    </row>
    <row r="565" ht="15.75" customHeight="1">
      <c r="C565" s="20"/>
      <c r="D565" s="20"/>
      <c r="E565" s="20"/>
      <c r="F565" s="21"/>
      <c r="G565" s="21"/>
    </row>
    <row r="566" ht="15.75" customHeight="1">
      <c r="C566" s="20"/>
      <c r="D566" s="20"/>
      <c r="E566" s="20"/>
      <c r="F566" s="21"/>
      <c r="G566" s="21"/>
    </row>
    <row r="567" ht="15.75" customHeight="1">
      <c r="C567" s="20"/>
      <c r="D567" s="20"/>
      <c r="E567" s="20"/>
      <c r="F567" s="21"/>
      <c r="G567" s="21"/>
    </row>
    <row r="568" ht="15.75" customHeight="1">
      <c r="C568" s="20"/>
      <c r="D568" s="20"/>
      <c r="E568" s="20"/>
      <c r="F568" s="21"/>
      <c r="G568" s="21"/>
    </row>
    <row r="569" ht="15.75" customHeight="1">
      <c r="C569" s="20"/>
      <c r="D569" s="20"/>
      <c r="E569" s="20"/>
      <c r="F569" s="21"/>
      <c r="G569" s="21"/>
    </row>
    <row r="570" ht="15.75" customHeight="1">
      <c r="C570" s="20"/>
      <c r="D570" s="20"/>
      <c r="E570" s="20"/>
      <c r="F570" s="21"/>
      <c r="G570" s="21"/>
    </row>
    <row r="571" ht="15.75" customHeight="1">
      <c r="C571" s="20"/>
      <c r="D571" s="20"/>
      <c r="E571" s="20"/>
      <c r="F571" s="21"/>
      <c r="G571" s="21"/>
    </row>
    <row r="572" ht="15.75" customHeight="1">
      <c r="C572" s="20"/>
      <c r="D572" s="20"/>
      <c r="E572" s="20"/>
      <c r="F572" s="21"/>
      <c r="G572" s="21"/>
    </row>
    <row r="573" ht="15.75" customHeight="1">
      <c r="C573" s="20"/>
      <c r="D573" s="20"/>
      <c r="E573" s="20"/>
      <c r="F573" s="21"/>
      <c r="G573" s="21"/>
    </row>
    <row r="574" ht="15.75" customHeight="1">
      <c r="C574" s="20"/>
      <c r="D574" s="20"/>
      <c r="E574" s="20"/>
      <c r="F574" s="21"/>
      <c r="G574" s="21"/>
    </row>
    <row r="575" ht="15.75" customHeight="1">
      <c r="C575" s="20"/>
      <c r="D575" s="20"/>
      <c r="E575" s="20"/>
      <c r="F575" s="21"/>
      <c r="G575" s="21"/>
    </row>
    <row r="576" ht="15.75" customHeight="1">
      <c r="C576" s="20"/>
      <c r="D576" s="20"/>
      <c r="E576" s="20"/>
      <c r="F576" s="21"/>
      <c r="G576" s="21"/>
    </row>
    <row r="577" ht="15.75" customHeight="1">
      <c r="C577" s="20"/>
      <c r="D577" s="20"/>
      <c r="E577" s="20"/>
      <c r="F577" s="21"/>
      <c r="G577" s="21"/>
    </row>
    <row r="578" ht="15.75" customHeight="1">
      <c r="C578" s="20"/>
      <c r="D578" s="20"/>
      <c r="E578" s="20"/>
      <c r="F578" s="21"/>
      <c r="G578" s="21"/>
    </row>
    <row r="579" ht="15.75" customHeight="1">
      <c r="C579" s="20"/>
      <c r="D579" s="20"/>
      <c r="E579" s="20"/>
      <c r="F579" s="21"/>
      <c r="G579" s="21"/>
    </row>
    <row r="580" ht="15.75" customHeight="1">
      <c r="C580" s="20"/>
      <c r="D580" s="20"/>
      <c r="E580" s="20"/>
      <c r="F580" s="21"/>
      <c r="G580" s="21"/>
    </row>
    <row r="581" ht="15.75" customHeight="1">
      <c r="C581" s="20"/>
      <c r="D581" s="20"/>
      <c r="E581" s="20"/>
      <c r="F581" s="21"/>
      <c r="G581" s="21"/>
    </row>
    <row r="582" ht="15.75" customHeight="1">
      <c r="C582" s="20"/>
      <c r="D582" s="20"/>
      <c r="E582" s="20"/>
      <c r="F582" s="21"/>
      <c r="G582" s="21"/>
    </row>
    <row r="583" ht="15.75" customHeight="1">
      <c r="C583" s="20"/>
      <c r="D583" s="20"/>
      <c r="E583" s="20"/>
      <c r="F583" s="21"/>
      <c r="G583" s="21"/>
    </row>
    <row r="584" ht="15.75" customHeight="1">
      <c r="C584" s="20"/>
      <c r="D584" s="20"/>
      <c r="E584" s="20"/>
      <c r="F584" s="21"/>
      <c r="G584" s="21"/>
    </row>
    <row r="585" ht="15.75" customHeight="1">
      <c r="C585" s="20"/>
      <c r="D585" s="20"/>
      <c r="E585" s="20"/>
      <c r="F585" s="21"/>
      <c r="G585" s="21"/>
    </row>
    <row r="586" ht="15.75" customHeight="1">
      <c r="C586" s="20"/>
      <c r="D586" s="20"/>
      <c r="E586" s="20"/>
      <c r="F586" s="21"/>
      <c r="G586" s="21"/>
    </row>
    <row r="587" ht="15.75" customHeight="1">
      <c r="C587" s="20"/>
      <c r="D587" s="20"/>
      <c r="E587" s="20"/>
      <c r="F587" s="21"/>
      <c r="G587" s="21"/>
    </row>
    <row r="588" ht="15.75" customHeight="1">
      <c r="C588" s="20"/>
      <c r="D588" s="20"/>
      <c r="E588" s="20"/>
      <c r="F588" s="21"/>
      <c r="G588" s="21"/>
    </row>
    <row r="589" ht="15.75" customHeight="1">
      <c r="C589" s="20"/>
      <c r="D589" s="20"/>
      <c r="E589" s="20"/>
      <c r="F589" s="21"/>
      <c r="G589" s="21"/>
    </row>
    <row r="590" ht="15.75" customHeight="1">
      <c r="C590" s="20"/>
      <c r="D590" s="20"/>
      <c r="E590" s="20"/>
      <c r="F590" s="21"/>
      <c r="G590" s="21"/>
    </row>
    <row r="591" ht="15.75" customHeight="1">
      <c r="C591" s="20"/>
      <c r="D591" s="20"/>
      <c r="E591" s="20"/>
      <c r="F591" s="21"/>
      <c r="G591" s="21"/>
    </row>
    <row r="592" ht="15.75" customHeight="1">
      <c r="C592" s="20"/>
      <c r="D592" s="20"/>
      <c r="E592" s="20"/>
      <c r="F592" s="21"/>
      <c r="G592" s="21"/>
    </row>
    <row r="593" ht="15.75" customHeight="1">
      <c r="C593" s="20"/>
      <c r="D593" s="20"/>
      <c r="E593" s="20"/>
      <c r="F593" s="21"/>
      <c r="G593" s="21"/>
    </row>
    <row r="594" ht="15.75" customHeight="1">
      <c r="C594" s="20"/>
      <c r="D594" s="20"/>
      <c r="E594" s="20"/>
      <c r="F594" s="21"/>
      <c r="G594" s="21"/>
    </row>
    <row r="595" ht="15.75" customHeight="1">
      <c r="C595" s="20"/>
      <c r="D595" s="20"/>
      <c r="E595" s="20"/>
      <c r="F595" s="21"/>
      <c r="G595" s="21"/>
    </row>
    <row r="596" ht="15.75" customHeight="1">
      <c r="C596" s="20"/>
      <c r="D596" s="20"/>
      <c r="E596" s="20"/>
      <c r="F596" s="21"/>
      <c r="G596" s="21"/>
    </row>
    <row r="597" ht="15.75" customHeight="1">
      <c r="C597" s="20"/>
      <c r="D597" s="20"/>
      <c r="E597" s="20"/>
      <c r="F597" s="21"/>
      <c r="G597" s="21"/>
    </row>
    <row r="598" ht="15.75" customHeight="1">
      <c r="C598" s="20"/>
      <c r="D598" s="20"/>
      <c r="E598" s="20"/>
      <c r="F598" s="21"/>
      <c r="G598" s="21"/>
    </row>
    <row r="599" ht="15.75" customHeight="1">
      <c r="C599" s="20"/>
      <c r="D599" s="20"/>
      <c r="E599" s="20"/>
      <c r="F599" s="21"/>
      <c r="G599" s="21"/>
    </row>
    <row r="600" ht="15.75" customHeight="1">
      <c r="C600" s="20"/>
      <c r="D600" s="20"/>
      <c r="E600" s="20"/>
      <c r="F600" s="21"/>
      <c r="G600" s="21"/>
    </row>
    <row r="601" ht="15.75" customHeight="1">
      <c r="C601" s="20"/>
      <c r="D601" s="20"/>
      <c r="E601" s="20"/>
      <c r="F601" s="21"/>
      <c r="G601" s="21"/>
    </row>
    <row r="602" ht="15.75" customHeight="1">
      <c r="C602" s="20"/>
      <c r="D602" s="20"/>
      <c r="E602" s="20"/>
      <c r="F602" s="21"/>
      <c r="G602" s="21"/>
    </row>
    <row r="603" ht="15.75" customHeight="1">
      <c r="C603" s="20"/>
      <c r="D603" s="20"/>
      <c r="E603" s="20"/>
      <c r="F603" s="21"/>
      <c r="G603" s="21"/>
    </row>
    <row r="604" ht="15.75" customHeight="1">
      <c r="C604" s="20"/>
      <c r="D604" s="20"/>
      <c r="E604" s="20"/>
      <c r="F604" s="21"/>
      <c r="G604" s="21"/>
    </row>
    <row r="605" ht="15.75" customHeight="1">
      <c r="C605" s="20"/>
      <c r="D605" s="20"/>
      <c r="E605" s="20"/>
      <c r="F605" s="21"/>
      <c r="G605" s="21"/>
    </row>
    <row r="606" ht="15.75" customHeight="1">
      <c r="C606" s="20"/>
      <c r="D606" s="20"/>
      <c r="E606" s="20"/>
      <c r="F606" s="21"/>
      <c r="G606" s="21"/>
    </row>
    <row r="607" ht="15.75" customHeight="1">
      <c r="C607" s="20"/>
      <c r="D607" s="20"/>
      <c r="E607" s="20"/>
      <c r="F607" s="21"/>
      <c r="G607" s="21"/>
    </row>
    <row r="608" ht="15.75" customHeight="1">
      <c r="C608" s="20"/>
      <c r="D608" s="20"/>
      <c r="E608" s="20"/>
      <c r="F608" s="21"/>
      <c r="G608" s="21"/>
    </row>
    <row r="609" ht="15.75" customHeight="1">
      <c r="C609" s="20"/>
      <c r="D609" s="20"/>
      <c r="E609" s="20"/>
      <c r="F609" s="21"/>
      <c r="G609" s="21"/>
    </row>
    <row r="610" ht="15.75" customHeight="1">
      <c r="C610" s="20"/>
      <c r="D610" s="20"/>
      <c r="E610" s="20"/>
      <c r="F610" s="21"/>
      <c r="G610" s="21"/>
    </row>
    <row r="611" ht="15.75" customHeight="1">
      <c r="C611" s="20"/>
      <c r="D611" s="20"/>
      <c r="E611" s="20"/>
      <c r="F611" s="21"/>
      <c r="G611" s="21"/>
    </row>
    <row r="612" ht="15.75" customHeight="1">
      <c r="C612" s="20"/>
      <c r="D612" s="20"/>
      <c r="E612" s="20"/>
      <c r="F612" s="21"/>
      <c r="G612" s="21"/>
    </row>
    <row r="613" ht="15.75" customHeight="1">
      <c r="C613" s="20"/>
      <c r="D613" s="20"/>
      <c r="E613" s="20"/>
      <c r="F613" s="21"/>
      <c r="G613" s="21"/>
    </row>
    <row r="614" ht="15.75" customHeight="1">
      <c r="C614" s="20"/>
      <c r="D614" s="20"/>
      <c r="E614" s="20"/>
      <c r="F614" s="21"/>
      <c r="G614" s="21"/>
    </row>
    <row r="615" ht="15.75" customHeight="1">
      <c r="C615" s="20"/>
      <c r="D615" s="20"/>
      <c r="E615" s="20"/>
      <c r="F615" s="21"/>
      <c r="G615" s="21"/>
    </row>
    <row r="616" ht="15.75" customHeight="1">
      <c r="C616" s="20"/>
      <c r="D616" s="20"/>
      <c r="E616" s="20"/>
      <c r="F616" s="21"/>
      <c r="G616" s="21"/>
    </row>
    <row r="617" ht="15.75" customHeight="1">
      <c r="C617" s="20"/>
      <c r="D617" s="20"/>
      <c r="E617" s="20"/>
      <c r="F617" s="21"/>
      <c r="G617" s="21"/>
    </row>
    <row r="618" ht="15.75" customHeight="1">
      <c r="C618" s="20"/>
      <c r="D618" s="20"/>
      <c r="E618" s="20"/>
      <c r="F618" s="21"/>
      <c r="G618" s="21"/>
    </row>
    <row r="619" ht="15.75" customHeight="1">
      <c r="C619" s="20"/>
      <c r="D619" s="20"/>
      <c r="E619" s="20"/>
      <c r="F619" s="21"/>
      <c r="G619" s="21"/>
    </row>
    <row r="620" ht="15.75" customHeight="1">
      <c r="C620" s="20"/>
      <c r="D620" s="20"/>
      <c r="E620" s="20"/>
      <c r="F620" s="21"/>
      <c r="G620" s="21"/>
    </row>
    <row r="621" ht="15.75" customHeight="1">
      <c r="C621" s="20"/>
      <c r="D621" s="20"/>
      <c r="E621" s="20"/>
      <c r="F621" s="21"/>
      <c r="G621" s="21"/>
    </row>
    <row r="622" ht="15.75" customHeight="1">
      <c r="C622" s="20"/>
      <c r="D622" s="20"/>
      <c r="E622" s="20"/>
      <c r="F622" s="21"/>
      <c r="G622" s="21"/>
    </row>
    <row r="623" ht="15.75" customHeight="1">
      <c r="C623" s="20"/>
      <c r="D623" s="20"/>
      <c r="E623" s="20"/>
      <c r="F623" s="21"/>
      <c r="G623" s="21"/>
    </row>
    <row r="624" ht="15.75" customHeight="1">
      <c r="C624" s="20"/>
      <c r="D624" s="20"/>
      <c r="E624" s="20"/>
      <c r="F624" s="21"/>
      <c r="G624" s="21"/>
    </row>
    <row r="625" ht="15.75" customHeight="1">
      <c r="C625" s="20"/>
      <c r="D625" s="20"/>
      <c r="E625" s="20"/>
      <c r="F625" s="21"/>
      <c r="G625" s="21"/>
    </row>
    <row r="626" ht="15.75" customHeight="1">
      <c r="C626" s="20"/>
      <c r="D626" s="20"/>
      <c r="E626" s="20"/>
      <c r="F626" s="21"/>
      <c r="G626" s="21"/>
    </row>
    <row r="627" ht="15.75" customHeight="1">
      <c r="C627" s="20"/>
      <c r="D627" s="20"/>
      <c r="E627" s="20"/>
      <c r="F627" s="21"/>
      <c r="G627" s="21"/>
    </row>
    <row r="628" ht="15.75" customHeight="1">
      <c r="C628" s="20"/>
      <c r="D628" s="20"/>
      <c r="E628" s="20"/>
      <c r="F628" s="21"/>
      <c r="G628" s="21"/>
    </row>
    <row r="629" ht="15.75" customHeight="1">
      <c r="C629" s="20"/>
      <c r="D629" s="20"/>
      <c r="E629" s="20"/>
      <c r="F629" s="21"/>
      <c r="G629" s="21"/>
    </row>
    <row r="630" ht="15.75" customHeight="1">
      <c r="C630" s="20"/>
      <c r="D630" s="20"/>
      <c r="E630" s="20"/>
      <c r="F630" s="21"/>
      <c r="G630" s="21"/>
    </row>
    <row r="631" ht="15.75" customHeight="1">
      <c r="C631" s="20"/>
      <c r="D631" s="20"/>
      <c r="E631" s="20"/>
      <c r="F631" s="21"/>
      <c r="G631" s="21"/>
    </row>
    <row r="632" ht="15.75" customHeight="1">
      <c r="C632" s="20"/>
      <c r="D632" s="20"/>
      <c r="E632" s="20"/>
      <c r="F632" s="21"/>
      <c r="G632" s="21"/>
    </row>
    <row r="633" ht="15.75" customHeight="1">
      <c r="C633" s="20"/>
      <c r="D633" s="20"/>
      <c r="E633" s="20"/>
      <c r="F633" s="21"/>
      <c r="G633" s="21"/>
    </row>
    <row r="634" ht="15.75" customHeight="1">
      <c r="C634" s="20"/>
      <c r="D634" s="20"/>
      <c r="E634" s="20"/>
      <c r="F634" s="21"/>
      <c r="G634" s="21"/>
    </row>
    <row r="635" ht="15.75" customHeight="1">
      <c r="C635" s="20"/>
      <c r="D635" s="20"/>
      <c r="E635" s="20"/>
      <c r="F635" s="21"/>
      <c r="G635" s="21"/>
    </row>
    <row r="636" ht="15.75" customHeight="1">
      <c r="C636" s="20"/>
      <c r="D636" s="20"/>
      <c r="E636" s="20"/>
      <c r="F636" s="21"/>
      <c r="G636" s="21"/>
    </row>
    <row r="637" ht="15.75" customHeight="1">
      <c r="C637" s="20"/>
      <c r="D637" s="20"/>
      <c r="E637" s="20"/>
      <c r="F637" s="21"/>
      <c r="G637" s="21"/>
    </row>
    <row r="638" ht="15.75" customHeight="1">
      <c r="C638" s="20"/>
      <c r="D638" s="20"/>
      <c r="E638" s="20"/>
      <c r="F638" s="21"/>
      <c r="G638" s="21"/>
    </row>
    <row r="639" ht="15.75" customHeight="1">
      <c r="C639" s="20"/>
      <c r="D639" s="20"/>
      <c r="E639" s="20"/>
      <c r="F639" s="21"/>
      <c r="G639" s="21"/>
    </row>
    <row r="640" ht="15.75" customHeight="1">
      <c r="C640" s="20"/>
      <c r="D640" s="20"/>
      <c r="E640" s="20"/>
      <c r="F640" s="21"/>
      <c r="G640" s="21"/>
    </row>
    <row r="641" ht="15.75" customHeight="1">
      <c r="C641" s="20"/>
      <c r="D641" s="20"/>
      <c r="E641" s="20"/>
      <c r="F641" s="21"/>
      <c r="G641" s="21"/>
    </row>
    <row r="642" ht="15.75" customHeight="1">
      <c r="C642" s="20"/>
      <c r="D642" s="20"/>
      <c r="E642" s="20"/>
      <c r="F642" s="21"/>
      <c r="G642" s="21"/>
    </row>
    <row r="643" ht="15.75" customHeight="1">
      <c r="C643" s="20"/>
      <c r="D643" s="20"/>
      <c r="E643" s="20"/>
      <c r="F643" s="21"/>
      <c r="G643" s="21"/>
    </row>
    <row r="644" ht="15.75" customHeight="1">
      <c r="C644" s="20"/>
      <c r="D644" s="20"/>
      <c r="E644" s="20"/>
      <c r="F644" s="21"/>
      <c r="G644" s="21"/>
    </row>
    <row r="645" ht="15.75" customHeight="1">
      <c r="C645" s="20"/>
      <c r="D645" s="20"/>
      <c r="E645" s="20"/>
      <c r="F645" s="21"/>
      <c r="G645" s="21"/>
    </row>
    <row r="646" ht="15.75" customHeight="1">
      <c r="C646" s="20"/>
      <c r="D646" s="20"/>
      <c r="E646" s="20"/>
      <c r="F646" s="21"/>
      <c r="G646" s="21"/>
    </row>
    <row r="647" ht="15.75" customHeight="1">
      <c r="C647" s="20"/>
      <c r="D647" s="20"/>
      <c r="E647" s="20"/>
      <c r="F647" s="21"/>
      <c r="G647" s="21"/>
    </row>
    <row r="648" ht="15.75" customHeight="1">
      <c r="C648" s="20"/>
      <c r="D648" s="20"/>
      <c r="E648" s="20"/>
      <c r="F648" s="21"/>
      <c r="G648" s="21"/>
    </row>
    <row r="649" ht="15.75" customHeight="1">
      <c r="C649" s="20"/>
      <c r="D649" s="20"/>
      <c r="E649" s="20"/>
      <c r="F649" s="21"/>
      <c r="G649" s="21"/>
    </row>
    <row r="650" ht="15.75" customHeight="1">
      <c r="C650" s="20"/>
      <c r="D650" s="20"/>
      <c r="E650" s="20"/>
      <c r="F650" s="21"/>
      <c r="G650" s="21"/>
    </row>
    <row r="651" ht="15.75" customHeight="1">
      <c r="C651" s="20"/>
      <c r="D651" s="20"/>
      <c r="E651" s="20"/>
      <c r="F651" s="21"/>
      <c r="G651" s="21"/>
    </row>
    <row r="652" ht="15.75" customHeight="1">
      <c r="C652" s="20"/>
      <c r="D652" s="20"/>
      <c r="E652" s="20"/>
      <c r="F652" s="21"/>
      <c r="G652" s="21"/>
    </row>
    <row r="653" ht="15.75" customHeight="1">
      <c r="C653" s="20"/>
      <c r="D653" s="20"/>
      <c r="E653" s="20"/>
      <c r="F653" s="21"/>
      <c r="G653" s="21"/>
    </row>
    <row r="654" ht="15.75" customHeight="1">
      <c r="C654" s="20"/>
      <c r="D654" s="20"/>
      <c r="E654" s="20"/>
      <c r="F654" s="21"/>
      <c r="G654" s="21"/>
    </row>
    <row r="655" ht="15.75" customHeight="1">
      <c r="C655" s="20"/>
      <c r="D655" s="20"/>
      <c r="E655" s="20"/>
      <c r="F655" s="21"/>
      <c r="G655" s="21"/>
    </row>
    <row r="656" ht="15.75" customHeight="1">
      <c r="C656" s="20"/>
      <c r="D656" s="20"/>
      <c r="E656" s="20"/>
      <c r="F656" s="21"/>
      <c r="G656" s="21"/>
    </row>
    <row r="657" ht="15.75" customHeight="1">
      <c r="C657" s="20"/>
      <c r="D657" s="20"/>
      <c r="E657" s="20"/>
      <c r="F657" s="21"/>
      <c r="G657" s="21"/>
    </row>
    <row r="658" ht="15.75" customHeight="1">
      <c r="C658" s="20"/>
      <c r="D658" s="20"/>
      <c r="E658" s="20"/>
      <c r="F658" s="21"/>
      <c r="G658" s="21"/>
    </row>
    <row r="659" ht="15.75" customHeight="1">
      <c r="C659" s="20"/>
      <c r="D659" s="20"/>
      <c r="E659" s="20"/>
      <c r="F659" s="21"/>
      <c r="G659" s="21"/>
    </row>
    <row r="660" ht="15.75" customHeight="1">
      <c r="C660" s="20"/>
      <c r="D660" s="20"/>
      <c r="E660" s="20"/>
      <c r="F660" s="21"/>
      <c r="G660" s="21"/>
    </row>
    <row r="661" ht="15.75" customHeight="1">
      <c r="C661" s="20"/>
      <c r="D661" s="20"/>
      <c r="E661" s="20"/>
      <c r="F661" s="21"/>
      <c r="G661" s="21"/>
    </row>
    <row r="662" ht="15.75" customHeight="1">
      <c r="C662" s="20"/>
      <c r="D662" s="20"/>
      <c r="E662" s="20"/>
      <c r="F662" s="21"/>
      <c r="G662" s="21"/>
    </row>
    <row r="663" ht="15.75" customHeight="1">
      <c r="C663" s="20"/>
      <c r="D663" s="20"/>
      <c r="E663" s="20"/>
      <c r="F663" s="21"/>
      <c r="G663" s="21"/>
    </row>
    <row r="664" ht="15.75" customHeight="1">
      <c r="C664" s="20"/>
      <c r="D664" s="20"/>
      <c r="E664" s="20"/>
      <c r="F664" s="21"/>
      <c r="G664" s="21"/>
    </row>
    <row r="665" ht="15.75" customHeight="1">
      <c r="C665" s="20"/>
      <c r="D665" s="20"/>
      <c r="E665" s="20"/>
      <c r="F665" s="21"/>
      <c r="G665" s="21"/>
    </row>
    <row r="666" ht="15.75" customHeight="1">
      <c r="C666" s="20"/>
      <c r="D666" s="20"/>
      <c r="E666" s="20"/>
      <c r="F666" s="21"/>
      <c r="G666" s="21"/>
    </row>
    <row r="667" ht="15.75" customHeight="1">
      <c r="C667" s="20"/>
      <c r="D667" s="20"/>
      <c r="E667" s="20"/>
      <c r="F667" s="21"/>
      <c r="G667" s="21"/>
    </row>
    <row r="668" ht="15.75" customHeight="1">
      <c r="C668" s="20"/>
      <c r="D668" s="20"/>
      <c r="E668" s="20"/>
      <c r="F668" s="21"/>
      <c r="G668" s="21"/>
    </row>
    <row r="669" ht="15.75" customHeight="1">
      <c r="C669" s="20"/>
      <c r="D669" s="20"/>
      <c r="E669" s="20"/>
      <c r="F669" s="21"/>
      <c r="G669" s="21"/>
    </row>
    <row r="670" ht="15.75" customHeight="1">
      <c r="C670" s="20"/>
      <c r="D670" s="20"/>
      <c r="E670" s="20"/>
      <c r="F670" s="21"/>
      <c r="G670" s="21"/>
    </row>
    <row r="671" ht="15.75" customHeight="1">
      <c r="C671" s="20"/>
      <c r="D671" s="20"/>
      <c r="E671" s="20"/>
      <c r="F671" s="21"/>
      <c r="G671" s="21"/>
    </row>
    <row r="672" ht="15.75" customHeight="1">
      <c r="C672" s="20"/>
      <c r="D672" s="20"/>
      <c r="E672" s="20"/>
      <c r="F672" s="21"/>
      <c r="G672" s="21"/>
    </row>
    <row r="673" ht="15.75" customHeight="1">
      <c r="C673" s="20"/>
      <c r="D673" s="20"/>
      <c r="E673" s="20"/>
      <c r="F673" s="21"/>
      <c r="G673" s="21"/>
    </row>
    <row r="674" ht="15.75" customHeight="1">
      <c r="C674" s="20"/>
      <c r="D674" s="20"/>
      <c r="E674" s="20"/>
      <c r="F674" s="21"/>
      <c r="G674" s="21"/>
    </row>
    <row r="675" ht="15.75" customHeight="1">
      <c r="C675" s="20"/>
      <c r="D675" s="20"/>
      <c r="E675" s="20"/>
      <c r="F675" s="21"/>
      <c r="G675" s="21"/>
    </row>
    <row r="676" ht="15.75" customHeight="1">
      <c r="C676" s="20"/>
      <c r="D676" s="20"/>
      <c r="E676" s="20"/>
      <c r="F676" s="21"/>
      <c r="G676" s="21"/>
    </row>
    <row r="677" ht="15.75" customHeight="1">
      <c r="C677" s="20"/>
      <c r="D677" s="20"/>
      <c r="E677" s="20"/>
      <c r="F677" s="21"/>
      <c r="G677" s="21"/>
    </row>
    <row r="678" ht="15.75" customHeight="1">
      <c r="C678" s="20"/>
      <c r="D678" s="20"/>
      <c r="E678" s="20"/>
      <c r="F678" s="21"/>
      <c r="G678" s="21"/>
    </row>
    <row r="679" ht="15.75" customHeight="1">
      <c r="C679" s="20"/>
      <c r="D679" s="20"/>
      <c r="E679" s="20"/>
      <c r="F679" s="21"/>
      <c r="G679" s="21"/>
    </row>
    <row r="680" ht="15.75" customHeight="1">
      <c r="C680" s="20"/>
      <c r="D680" s="20"/>
      <c r="E680" s="20"/>
      <c r="F680" s="21"/>
      <c r="G680" s="21"/>
    </row>
    <row r="681" ht="15.75" customHeight="1">
      <c r="C681" s="20"/>
      <c r="D681" s="20"/>
      <c r="E681" s="20"/>
      <c r="F681" s="21"/>
      <c r="G681" s="21"/>
    </row>
    <row r="682" ht="15.75" customHeight="1">
      <c r="C682" s="20"/>
      <c r="D682" s="20"/>
      <c r="E682" s="20"/>
      <c r="F682" s="21"/>
      <c r="G682" s="21"/>
    </row>
    <row r="683" ht="15.75" customHeight="1">
      <c r="C683" s="20"/>
      <c r="D683" s="20"/>
      <c r="E683" s="20"/>
      <c r="F683" s="21"/>
      <c r="G683" s="21"/>
    </row>
    <row r="684" ht="15.75" customHeight="1">
      <c r="C684" s="20"/>
      <c r="D684" s="20"/>
      <c r="E684" s="20"/>
      <c r="F684" s="21"/>
      <c r="G684" s="21"/>
    </row>
    <row r="685" ht="15.75" customHeight="1">
      <c r="C685" s="20"/>
      <c r="D685" s="20"/>
      <c r="E685" s="20"/>
      <c r="F685" s="21"/>
      <c r="G685" s="21"/>
    </row>
    <row r="686" ht="15.75" customHeight="1">
      <c r="C686" s="20"/>
      <c r="D686" s="20"/>
      <c r="E686" s="20"/>
      <c r="F686" s="21"/>
      <c r="G686" s="21"/>
    </row>
    <row r="687" ht="15.75" customHeight="1">
      <c r="C687" s="20"/>
      <c r="D687" s="20"/>
      <c r="E687" s="20"/>
      <c r="F687" s="21"/>
      <c r="G687" s="21"/>
    </row>
    <row r="688" ht="15.75" customHeight="1">
      <c r="C688" s="20"/>
      <c r="D688" s="20"/>
      <c r="E688" s="20"/>
      <c r="F688" s="21"/>
      <c r="G688" s="21"/>
    </row>
    <row r="689" ht="15.75" customHeight="1">
      <c r="C689" s="20"/>
      <c r="D689" s="20"/>
      <c r="E689" s="20"/>
      <c r="F689" s="21"/>
      <c r="G689" s="21"/>
    </row>
    <row r="690" ht="15.75" customHeight="1">
      <c r="C690" s="20"/>
      <c r="D690" s="20"/>
      <c r="E690" s="20"/>
      <c r="F690" s="21"/>
      <c r="G690" s="21"/>
    </row>
    <row r="691" ht="15.75" customHeight="1">
      <c r="C691" s="20"/>
      <c r="D691" s="20"/>
      <c r="E691" s="20"/>
      <c r="F691" s="21"/>
      <c r="G691" s="21"/>
    </row>
    <row r="692" ht="15.75" customHeight="1">
      <c r="C692" s="20"/>
      <c r="D692" s="20"/>
      <c r="E692" s="20"/>
      <c r="F692" s="21"/>
      <c r="G692" s="21"/>
    </row>
    <row r="693" ht="15.75" customHeight="1">
      <c r="C693" s="20"/>
      <c r="D693" s="20"/>
      <c r="E693" s="20"/>
      <c r="F693" s="21"/>
      <c r="G693" s="21"/>
    </row>
    <row r="694" ht="15.75" customHeight="1">
      <c r="C694" s="20"/>
      <c r="D694" s="20"/>
      <c r="E694" s="20"/>
      <c r="F694" s="21"/>
      <c r="G694" s="21"/>
    </row>
    <row r="695" ht="15.75" customHeight="1">
      <c r="C695" s="20"/>
      <c r="D695" s="20"/>
      <c r="E695" s="20"/>
      <c r="F695" s="21"/>
      <c r="G695" s="21"/>
    </row>
    <row r="696" ht="15.75" customHeight="1">
      <c r="C696" s="20"/>
      <c r="D696" s="20"/>
      <c r="E696" s="20"/>
      <c r="F696" s="21"/>
      <c r="G696" s="21"/>
    </row>
    <row r="697" ht="15.75" customHeight="1">
      <c r="C697" s="20"/>
      <c r="D697" s="20"/>
      <c r="E697" s="20"/>
      <c r="F697" s="21"/>
      <c r="G697" s="21"/>
    </row>
    <row r="698" ht="15.75" customHeight="1">
      <c r="C698" s="20"/>
      <c r="D698" s="20"/>
      <c r="E698" s="20"/>
      <c r="F698" s="21"/>
      <c r="G698" s="21"/>
    </row>
    <row r="699" ht="15.75" customHeight="1">
      <c r="C699" s="20"/>
      <c r="D699" s="20"/>
      <c r="E699" s="20"/>
      <c r="F699" s="21"/>
      <c r="G699" s="21"/>
    </row>
    <row r="700" ht="15.75" customHeight="1">
      <c r="C700" s="20"/>
      <c r="D700" s="20"/>
      <c r="E700" s="20"/>
      <c r="F700" s="21"/>
      <c r="G700" s="21"/>
    </row>
    <row r="701" ht="15.75" customHeight="1">
      <c r="C701" s="20"/>
      <c r="D701" s="20"/>
      <c r="E701" s="20"/>
      <c r="F701" s="21"/>
      <c r="G701" s="21"/>
    </row>
    <row r="702" ht="15.75" customHeight="1">
      <c r="C702" s="20"/>
      <c r="D702" s="20"/>
      <c r="E702" s="20"/>
      <c r="F702" s="21"/>
      <c r="G702" s="21"/>
    </row>
    <row r="703" ht="15.75" customHeight="1">
      <c r="C703" s="20"/>
      <c r="D703" s="20"/>
      <c r="E703" s="20"/>
      <c r="F703" s="21"/>
      <c r="G703" s="21"/>
    </row>
    <row r="704" ht="15.75" customHeight="1">
      <c r="C704" s="20"/>
      <c r="D704" s="20"/>
      <c r="E704" s="20"/>
      <c r="F704" s="21"/>
      <c r="G704" s="21"/>
    </row>
    <row r="705" ht="15.75" customHeight="1">
      <c r="C705" s="20"/>
      <c r="D705" s="20"/>
      <c r="E705" s="20"/>
      <c r="F705" s="21"/>
      <c r="G705" s="21"/>
    </row>
    <row r="706" ht="15.75" customHeight="1">
      <c r="C706" s="20"/>
      <c r="D706" s="20"/>
      <c r="E706" s="20"/>
      <c r="F706" s="21"/>
      <c r="G706" s="21"/>
    </row>
    <row r="707" ht="15.75" customHeight="1">
      <c r="C707" s="20"/>
      <c r="D707" s="20"/>
      <c r="E707" s="20"/>
      <c r="F707" s="21"/>
      <c r="G707" s="21"/>
    </row>
    <row r="708" ht="15.75" customHeight="1">
      <c r="C708" s="20"/>
      <c r="D708" s="20"/>
      <c r="E708" s="20"/>
      <c r="F708" s="21"/>
      <c r="G708" s="21"/>
    </row>
    <row r="709" ht="15.75" customHeight="1">
      <c r="C709" s="20"/>
      <c r="D709" s="20"/>
      <c r="E709" s="20"/>
      <c r="F709" s="21"/>
      <c r="G709" s="21"/>
    </row>
    <row r="710" ht="15.75" customHeight="1">
      <c r="C710" s="20"/>
      <c r="D710" s="20"/>
      <c r="E710" s="20"/>
      <c r="F710" s="21"/>
      <c r="G710" s="21"/>
    </row>
    <row r="711" ht="15.75" customHeight="1">
      <c r="C711" s="20"/>
      <c r="D711" s="20"/>
      <c r="E711" s="20"/>
      <c r="F711" s="21"/>
      <c r="G711" s="21"/>
    </row>
    <row r="712" ht="15.75" customHeight="1">
      <c r="C712" s="20"/>
      <c r="D712" s="20"/>
      <c r="E712" s="20"/>
      <c r="F712" s="21"/>
      <c r="G712" s="21"/>
    </row>
    <row r="713" ht="15.75" customHeight="1">
      <c r="C713" s="20"/>
      <c r="D713" s="20"/>
      <c r="E713" s="20"/>
      <c r="F713" s="21"/>
      <c r="G713" s="21"/>
    </row>
    <row r="714" ht="15.75" customHeight="1">
      <c r="C714" s="20"/>
      <c r="D714" s="20"/>
      <c r="E714" s="20"/>
      <c r="F714" s="21"/>
      <c r="G714" s="21"/>
    </row>
    <row r="715" ht="15.75" customHeight="1">
      <c r="C715" s="20"/>
      <c r="D715" s="20"/>
      <c r="E715" s="20"/>
      <c r="F715" s="21"/>
      <c r="G715" s="21"/>
    </row>
    <row r="716" ht="15.75" customHeight="1">
      <c r="C716" s="20"/>
      <c r="D716" s="20"/>
      <c r="E716" s="20"/>
      <c r="F716" s="21"/>
      <c r="G716" s="21"/>
    </row>
    <row r="717" ht="15.75" customHeight="1">
      <c r="C717" s="20"/>
      <c r="D717" s="20"/>
      <c r="E717" s="20"/>
      <c r="F717" s="21"/>
      <c r="G717" s="21"/>
    </row>
    <row r="718" ht="15.75" customHeight="1">
      <c r="C718" s="20"/>
      <c r="D718" s="20"/>
      <c r="E718" s="20"/>
      <c r="F718" s="21"/>
      <c r="G718" s="21"/>
    </row>
    <row r="719" ht="15.75" customHeight="1">
      <c r="C719" s="20"/>
      <c r="D719" s="20"/>
      <c r="E719" s="20"/>
      <c r="F719" s="21"/>
      <c r="G719" s="21"/>
    </row>
    <row r="720" ht="15.75" customHeight="1">
      <c r="C720" s="20"/>
      <c r="D720" s="20"/>
      <c r="E720" s="20"/>
      <c r="F720" s="21"/>
      <c r="G720" s="21"/>
    </row>
    <row r="721" ht="15.75" customHeight="1">
      <c r="C721" s="20"/>
      <c r="D721" s="20"/>
      <c r="E721" s="20"/>
      <c r="F721" s="21"/>
      <c r="G721" s="21"/>
    </row>
    <row r="722" ht="15.75" customHeight="1">
      <c r="C722" s="20"/>
      <c r="D722" s="20"/>
      <c r="E722" s="20"/>
      <c r="F722" s="21"/>
      <c r="G722" s="21"/>
    </row>
    <row r="723" ht="15.75" customHeight="1">
      <c r="C723" s="20"/>
      <c r="D723" s="20"/>
      <c r="E723" s="20"/>
      <c r="F723" s="21"/>
      <c r="G723" s="21"/>
    </row>
    <row r="724" ht="15.75" customHeight="1">
      <c r="C724" s="20"/>
      <c r="D724" s="20"/>
      <c r="E724" s="20"/>
      <c r="F724" s="21"/>
      <c r="G724" s="21"/>
    </row>
    <row r="725" ht="15.75" customHeight="1">
      <c r="C725" s="20"/>
      <c r="D725" s="20"/>
      <c r="E725" s="20"/>
      <c r="F725" s="21"/>
      <c r="G725" s="21"/>
    </row>
    <row r="726" ht="15.75" customHeight="1">
      <c r="C726" s="20"/>
      <c r="D726" s="20"/>
      <c r="E726" s="20"/>
      <c r="F726" s="21"/>
      <c r="G726" s="21"/>
    </row>
    <row r="727" ht="15.75" customHeight="1">
      <c r="C727" s="20"/>
      <c r="D727" s="20"/>
      <c r="E727" s="20"/>
      <c r="F727" s="21"/>
      <c r="G727" s="21"/>
    </row>
    <row r="728" ht="15.75" customHeight="1">
      <c r="C728" s="20"/>
      <c r="D728" s="20"/>
      <c r="E728" s="20"/>
      <c r="F728" s="21"/>
      <c r="G728" s="21"/>
    </row>
    <row r="729" ht="15.75" customHeight="1">
      <c r="C729" s="20"/>
      <c r="D729" s="20"/>
      <c r="E729" s="20"/>
      <c r="F729" s="21"/>
      <c r="G729" s="21"/>
    </row>
    <row r="730" ht="15.75" customHeight="1">
      <c r="C730" s="20"/>
      <c r="D730" s="20"/>
      <c r="E730" s="20"/>
      <c r="F730" s="21"/>
      <c r="G730" s="21"/>
    </row>
    <row r="731" ht="15.75" customHeight="1">
      <c r="C731" s="20"/>
      <c r="D731" s="20"/>
      <c r="E731" s="20"/>
      <c r="F731" s="21"/>
      <c r="G731" s="21"/>
    </row>
    <row r="732" ht="15.75" customHeight="1">
      <c r="C732" s="20"/>
      <c r="D732" s="20"/>
      <c r="E732" s="20"/>
      <c r="F732" s="21"/>
      <c r="G732" s="21"/>
    </row>
    <row r="733" ht="15.75" customHeight="1">
      <c r="C733" s="20"/>
      <c r="D733" s="20"/>
      <c r="E733" s="20"/>
      <c r="F733" s="21"/>
      <c r="G733" s="21"/>
    </row>
    <row r="734" ht="15.75" customHeight="1">
      <c r="C734" s="20"/>
      <c r="D734" s="20"/>
      <c r="E734" s="20"/>
      <c r="F734" s="21"/>
      <c r="G734" s="21"/>
    </row>
    <row r="735" ht="15.75" customHeight="1">
      <c r="C735" s="20"/>
      <c r="D735" s="20"/>
      <c r="E735" s="20"/>
      <c r="F735" s="21"/>
      <c r="G735" s="21"/>
    </row>
    <row r="736" ht="15.75" customHeight="1">
      <c r="C736" s="20"/>
      <c r="D736" s="20"/>
      <c r="E736" s="20"/>
      <c r="F736" s="21"/>
      <c r="G736" s="21"/>
    </row>
    <row r="737" ht="15.75" customHeight="1">
      <c r="C737" s="20"/>
      <c r="D737" s="20"/>
      <c r="E737" s="20"/>
      <c r="F737" s="21"/>
      <c r="G737" s="21"/>
    </row>
    <row r="738" ht="15.75" customHeight="1">
      <c r="C738" s="20"/>
      <c r="D738" s="20"/>
      <c r="E738" s="20"/>
      <c r="F738" s="21"/>
      <c r="G738" s="21"/>
    </row>
    <row r="739" ht="15.75" customHeight="1">
      <c r="C739" s="20"/>
      <c r="D739" s="20"/>
      <c r="E739" s="20"/>
      <c r="F739" s="21"/>
      <c r="G739" s="21"/>
    </row>
    <row r="740" ht="15.75" customHeight="1">
      <c r="C740" s="20"/>
      <c r="D740" s="20"/>
      <c r="E740" s="20"/>
      <c r="F740" s="21"/>
      <c r="G740" s="21"/>
    </row>
    <row r="741" ht="15.75" customHeight="1">
      <c r="C741" s="20"/>
      <c r="D741" s="20"/>
      <c r="E741" s="20"/>
      <c r="F741" s="21"/>
      <c r="G741" s="21"/>
    </row>
    <row r="742" ht="15.75" customHeight="1">
      <c r="C742" s="20"/>
      <c r="D742" s="20"/>
      <c r="E742" s="20"/>
      <c r="F742" s="21"/>
      <c r="G742" s="21"/>
    </row>
    <row r="743" ht="15.75" customHeight="1">
      <c r="C743" s="20"/>
      <c r="D743" s="20"/>
      <c r="E743" s="20"/>
      <c r="F743" s="21"/>
      <c r="G743" s="21"/>
    </row>
    <row r="744" ht="15.75" customHeight="1">
      <c r="C744" s="20"/>
      <c r="D744" s="20"/>
      <c r="E744" s="20"/>
      <c r="F744" s="21"/>
      <c r="G744" s="21"/>
    </row>
    <row r="745" ht="15.75" customHeight="1">
      <c r="C745" s="20"/>
      <c r="D745" s="20"/>
      <c r="E745" s="20"/>
      <c r="F745" s="21"/>
      <c r="G745" s="21"/>
    </row>
    <row r="746" ht="15.75" customHeight="1">
      <c r="C746" s="20"/>
      <c r="D746" s="20"/>
      <c r="E746" s="20"/>
      <c r="F746" s="21"/>
      <c r="G746" s="21"/>
    </row>
    <row r="747" ht="15.75" customHeight="1">
      <c r="C747" s="20"/>
      <c r="D747" s="20"/>
      <c r="E747" s="20"/>
      <c r="F747" s="21"/>
      <c r="G747" s="21"/>
    </row>
    <row r="748" ht="15.75" customHeight="1">
      <c r="C748" s="20"/>
      <c r="D748" s="20"/>
      <c r="E748" s="20"/>
      <c r="F748" s="21"/>
      <c r="G748" s="21"/>
    </row>
    <row r="749" ht="15.75" customHeight="1">
      <c r="C749" s="20"/>
      <c r="D749" s="20"/>
      <c r="E749" s="20"/>
      <c r="F749" s="21"/>
      <c r="G749" s="21"/>
    </row>
    <row r="750" ht="15.75" customHeight="1">
      <c r="C750" s="20"/>
      <c r="D750" s="20"/>
      <c r="E750" s="20"/>
      <c r="F750" s="21"/>
      <c r="G750" s="21"/>
    </row>
    <row r="751" ht="15.75" customHeight="1">
      <c r="C751" s="20"/>
      <c r="D751" s="20"/>
      <c r="E751" s="20"/>
      <c r="F751" s="21"/>
      <c r="G751" s="21"/>
    </row>
    <row r="752" ht="15.75" customHeight="1">
      <c r="C752" s="20"/>
      <c r="D752" s="20"/>
      <c r="E752" s="20"/>
      <c r="F752" s="21"/>
      <c r="G752" s="21"/>
    </row>
    <row r="753" ht="15.75" customHeight="1">
      <c r="C753" s="20"/>
      <c r="D753" s="20"/>
      <c r="E753" s="20"/>
      <c r="F753" s="21"/>
      <c r="G753" s="21"/>
    </row>
    <row r="754" ht="15.75" customHeight="1">
      <c r="C754" s="20"/>
      <c r="D754" s="20"/>
      <c r="E754" s="20"/>
      <c r="F754" s="21"/>
      <c r="G754" s="21"/>
    </row>
    <row r="755" ht="15.75" customHeight="1">
      <c r="C755" s="20"/>
      <c r="D755" s="20"/>
      <c r="E755" s="20"/>
      <c r="F755" s="21"/>
      <c r="G755" s="21"/>
    </row>
    <row r="756" ht="15.75" customHeight="1">
      <c r="C756" s="20"/>
      <c r="D756" s="20"/>
      <c r="E756" s="20"/>
      <c r="F756" s="21"/>
      <c r="G756" s="21"/>
    </row>
    <row r="757" ht="15.75" customHeight="1">
      <c r="C757" s="20"/>
      <c r="D757" s="20"/>
      <c r="E757" s="20"/>
      <c r="F757" s="21"/>
      <c r="G757" s="21"/>
    </row>
    <row r="758" ht="15.75" customHeight="1">
      <c r="C758" s="20"/>
      <c r="D758" s="20"/>
      <c r="E758" s="20"/>
      <c r="F758" s="21"/>
      <c r="G758" s="21"/>
    </row>
    <row r="759" ht="15.75" customHeight="1">
      <c r="C759" s="20"/>
      <c r="D759" s="20"/>
      <c r="E759" s="20"/>
      <c r="F759" s="21"/>
      <c r="G759" s="21"/>
    </row>
    <row r="760" ht="15.75" customHeight="1">
      <c r="C760" s="20"/>
      <c r="D760" s="20"/>
      <c r="E760" s="20"/>
      <c r="F760" s="21"/>
      <c r="G760" s="21"/>
    </row>
    <row r="761" ht="15.75" customHeight="1">
      <c r="C761" s="20"/>
      <c r="D761" s="20"/>
      <c r="E761" s="20"/>
      <c r="F761" s="21"/>
      <c r="G761" s="21"/>
    </row>
    <row r="762" ht="15.75" customHeight="1">
      <c r="C762" s="20"/>
      <c r="D762" s="20"/>
      <c r="E762" s="20"/>
      <c r="F762" s="21"/>
      <c r="G762" s="21"/>
    </row>
    <row r="763" ht="15.75" customHeight="1">
      <c r="C763" s="20"/>
      <c r="D763" s="20"/>
      <c r="E763" s="20"/>
      <c r="F763" s="21"/>
      <c r="G763" s="21"/>
    </row>
    <row r="764" ht="15.75" customHeight="1">
      <c r="C764" s="20"/>
      <c r="D764" s="20"/>
      <c r="E764" s="20"/>
      <c r="F764" s="21"/>
      <c r="G764" s="21"/>
    </row>
    <row r="765" ht="15.75" customHeight="1">
      <c r="C765" s="20"/>
      <c r="D765" s="20"/>
      <c r="E765" s="20"/>
      <c r="F765" s="21"/>
      <c r="G765" s="21"/>
    </row>
    <row r="766" ht="15.75" customHeight="1">
      <c r="C766" s="20"/>
      <c r="D766" s="20"/>
      <c r="E766" s="20"/>
      <c r="F766" s="21"/>
      <c r="G766" s="21"/>
    </row>
    <row r="767" ht="15.75" customHeight="1">
      <c r="C767" s="20"/>
      <c r="D767" s="20"/>
      <c r="E767" s="20"/>
      <c r="F767" s="21"/>
      <c r="G767" s="21"/>
    </row>
    <row r="768" ht="15.75" customHeight="1">
      <c r="C768" s="20"/>
      <c r="D768" s="20"/>
      <c r="E768" s="20"/>
      <c r="F768" s="21"/>
      <c r="G768" s="21"/>
    </row>
    <row r="769" ht="15.75" customHeight="1">
      <c r="C769" s="20"/>
      <c r="D769" s="20"/>
      <c r="E769" s="20"/>
      <c r="F769" s="21"/>
      <c r="G769" s="21"/>
    </row>
    <row r="770" ht="15.75" customHeight="1">
      <c r="C770" s="20"/>
      <c r="D770" s="20"/>
      <c r="E770" s="20"/>
      <c r="F770" s="21"/>
      <c r="G770" s="21"/>
    </row>
    <row r="771" ht="15.75" customHeight="1">
      <c r="C771" s="20"/>
      <c r="D771" s="20"/>
      <c r="E771" s="20"/>
      <c r="F771" s="21"/>
      <c r="G771" s="21"/>
    </row>
    <row r="772" ht="15.75" customHeight="1">
      <c r="C772" s="20"/>
      <c r="D772" s="20"/>
      <c r="E772" s="20"/>
      <c r="F772" s="21"/>
      <c r="G772" s="21"/>
    </row>
    <row r="773" ht="15.75" customHeight="1">
      <c r="C773" s="20"/>
      <c r="D773" s="20"/>
      <c r="E773" s="20"/>
      <c r="F773" s="21"/>
      <c r="G773" s="21"/>
    </row>
    <row r="774" ht="15.75" customHeight="1">
      <c r="C774" s="20"/>
      <c r="D774" s="20"/>
      <c r="E774" s="20"/>
      <c r="F774" s="21"/>
      <c r="G774" s="21"/>
    </row>
    <row r="775" ht="15.75" customHeight="1">
      <c r="C775" s="20"/>
      <c r="D775" s="20"/>
      <c r="E775" s="20"/>
      <c r="F775" s="21"/>
      <c r="G775" s="21"/>
    </row>
    <row r="776" ht="15.75" customHeight="1">
      <c r="C776" s="20"/>
      <c r="D776" s="20"/>
      <c r="E776" s="20"/>
      <c r="F776" s="21"/>
      <c r="G776" s="21"/>
    </row>
    <row r="777" ht="15.75" customHeight="1">
      <c r="C777" s="20"/>
      <c r="D777" s="20"/>
      <c r="E777" s="20"/>
      <c r="F777" s="21"/>
      <c r="G777" s="21"/>
    </row>
    <row r="778" ht="15.75" customHeight="1">
      <c r="C778" s="20"/>
      <c r="D778" s="20"/>
      <c r="E778" s="20"/>
      <c r="F778" s="21"/>
      <c r="G778" s="21"/>
    </row>
    <row r="779" ht="15.75" customHeight="1">
      <c r="C779" s="20"/>
      <c r="D779" s="20"/>
      <c r="E779" s="20"/>
      <c r="F779" s="21"/>
      <c r="G779" s="21"/>
    </row>
    <row r="780" ht="15.75" customHeight="1">
      <c r="C780" s="20"/>
      <c r="D780" s="20"/>
      <c r="E780" s="20"/>
      <c r="F780" s="21"/>
      <c r="G780" s="21"/>
    </row>
    <row r="781" ht="15.75" customHeight="1">
      <c r="C781" s="20"/>
      <c r="D781" s="20"/>
      <c r="E781" s="20"/>
      <c r="F781" s="21"/>
      <c r="G781" s="21"/>
    </row>
    <row r="782" ht="15.75" customHeight="1">
      <c r="C782" s="20"/>
      <c r="D782" s="20"/>
      <c r="E782" s="20"/>
      <c r="F782" s="21"/>
      <c r="G782" s="21"/>
    </row>
    <row r="783" ht="15.75" customHeight="1">
      <c r="C783" s="20"/>
      <c r="D783" s="20"/>
      <c r="E783" s="20"/>
      <c r="F783" s="21"/>
      <c r="G783" s="21"/>
    </row>
    <row r="784" ht="15.75" customHeight="1">
      <c r="C784" s="20"/>
      <c r="D784" s="20"/>
      <c r="E784" s="20"/>
      <c r="F784" s="21"/>
      <c r="G784" s="21"/>
    </row>
    <row r="785" ht="15.75" customHeight="1">
      <c r="C785" s="20"/>
      <c r="D785" s="20"/>
      <c r="E785" s="20"/>
      <c r="F785" s="21"/>
      <c r="G785" s="21"/>
    </row>
    <row r="786" ht="15.75" customHeight="1">
      <c r="C786" s="20"/>
      <c r="D786" s="20"/>
      <c r="E786" s="20"/>
      <c r="F786" s="21"/>
      <c r="G786" s="21"/>
    </row>
    <row r="787" ht="15.75" customHeight="1">
      <c r="C787" s="20"/>
      <c r="D787" s="20"/>
      <c r="E787" s="20"/>
      <c r="F787" s="21"/>
      <c r="G787" s="21"/>
    </row>
    <row r="788" ht="15.75" customHeight="1">
      <c r="C788" s="20"/>
      <c r="D788" s="20"/>
      <c r="E788" s="20"/>
      <c r="F788" s="21"/>
      <c r="G788" s="21"/>
    </row>
    <row r="789" ht="15.75" customHeight="1">
      <c r="C789" s="20"/>
      <c r="D789" s="20"/>
      <c r="E789" s="20"/>
      <c r="F789" s="21"/>
      <c r="G789" s="21"/>
    </row>
    <row r="790" ht="15.75" customHeight="1">
      <c r="C790" s="20"/>
      <c r="D790" s="20"/>
      <c r="E790" s="20"/>
      <c r="F790" s="21"/>
      <c r="G790" s="21"/>
    </row>
    <row r="791" ht="15.75" customHeight="1">
      <c r="C791" s="20"/>
      <c r="D791" s="20"/>
      <c r="E791" s="20"/>
      <c r="F791" s="21"/>
      <c r="G791" s="21"/>
    </row>
    <row r="792" ht="15.75" customHeight="1">
      <c r="C792" s="20"/>
      <c r="D792" s="20"/>
      <c r="E792" s="20"/>
      <c r="F792" s="21"/>
      <c r="G792" s="21"/>
    </row>
    <row r="793" ht="15.75" customHeight="1">
      <c r="C793" s="20"/>
      <c r="D793" s="20"/>
      <c r="E793" s="20"/>
      <c r="F793" s="21"/>
      <c r="G793" s="21"/>
    </row>
    <row r="794" ht="15.75" customHeight="1">
      <c r="C794" s="20"/>
      <c r="D794" s="20"/>
      <c r="E794" s="20"/>
      <c r="F794" s="21"/>
      <c r="G794" s="21"/>
    </row>
    <row r="795" ht="15.75" customHeight="1">
      <c r="C795" s="20"/>
      <c r="D795" s="20"/>
      <c r="E795" s="20"/>
      <c r="F795" s="21"/>
      <c r="G795" s="21"/>
    </row>
    <row r="796" ht="15.75" customHeight="1">
      <c r="C796" s="20"/>
      <c r="D796" s="20"/>
      <c r="E796" s="20"/>
      <c r="F796" s="21"/>
      <c r="G796" s="21"/>
    </row>
    <row r="797" ht="15.75" customHeight="1">
      <c r="C797" s="20"/>
      <c r="D797" s="20"/>
      <c r="E797" s="20"/>
      <c r="F797" s="21"/>
      <c r="G797" s="21"/>
    </row>
    <row r="798" ht="15.75" customHeight="1">
      <c r="C798" s="20"/>
      <c r="D798" s="20"/>
      <c r="E798" s="20"/>
      <c r="F798" s="21"/>
      <c r="G798" s="21"/>
    </row>
    <row r="799" ht="15.75" customHeight="1">
      <c r="C799" s="20"/>
      <c r="D799" s="20"/>
      <c r="E799" s="20"/>
      <c r="F799" s="21"/>
      <c r="G799" s="21"/>
    </row>
    <row r="800" ht="15.75" customHeight="1">
      <c r="C800" s="20"/>
      <c r="D800" s="20"/>
      <c r="E800" s="20"/>
      <c r="F800" s="21"/>
      <c r="G800" s="21"/>
    </row>
    <row r="801" ht="15.75" customHeight="1">
      <c r="C801" s="20"/>
      <c r="D801" s="20"/>
      <c r="E801" s="20"/>
      <c r="F801" s="21"/>
      <c r="G801" s="21"/>
    </row>
    <row r="802" ht="15.75" customHeight="1">
      <c r="C802" s="20"/>
      <c r="D802" s="20"/>
      <c r="E802" s="20"/>
      <c r="F802" s="21"/>
      <c r="G802" s="21"/>
    </row>
    <row r="803" ht="15.75" customHeight="1">
      <c r="C803" s="20"/>
      <c r="D803" s="20"/>
      <c r="E803" s="20"/>
      <c r="F803" s="21"/>
      <c r="G803" s="21"/>
    </row>
    <row r="804" ht="15.75" customHeight="1">
      <c r="C804" s="20"/>
      <c r="D804" s="20"/>
      <c r="E804" s="20"/>
      <c r="F804" s="21"/>
      <c r="G804" s="21"/>
    </row>
    <row r="805" ht="15.75" customHeight="1">
      <c r="C805" s="20"/>
      <c r="D805" s="20"/>
      <c r="E805" s="20"/>
      <c r="F805" s="21"/>
      <c r="G805" s="21"/>
    </row>
    <row r="806" ht="15.75" customHeight="1">
      <c r="C806" s="20"/>
      <c r="D806" s="20"/>
      <c r="E806" s="20"/>
      <c r="F806" s="21"/>
      <c r="G806" s="21"/>
    </row>
    <row r="807" ht="15.75" customHeight="1">
      <c r="C807" s="20"/>
      <c r="D807" s="20"/>
      <c r="E807" s="20"/>
      <c r="F807" s="21"/>
      <c r="G807" s="21"/>
    </row>
    <row r="808" ht="15.75" customHeight="1">
      <c r="C808" s="20"/>
      <c r="D808" s="20"/>
      <c r="E808" s="20"/>
      <c r="F808" s="21"/>
      <c r="G808" s="21"/>
    </row>
    <row r="809" ht="15.75" customHeight="1">
      <c r="C809" s="20"/>
      <c r="D809" s="20"/>
      <c r="E809" s="20"/>
      <c r="F809" s="21"/>
      <c r="G809" s="21"/>
    </row>
    <row r="810" ht="15.75" customHeight="1">
      <c r="C810" s="20"/>
      <c r="D810" s="20"/>
      <c r="E810" s="20"/>
      <c r="F810" s="21"/>
      <c r="G810" s="21"/>
    </row>
    <row r="811" ht="15.75" customHeight="1">
      <c r="C811" s="20"/>
      <c r="D811" s="20"/>
      <c r="E811" s="20"/>
      <c r="F811" s="21"/>
      <c r="G811" s="21"/>
    </row>
    <row r="812" ht="15.75" customHeight="1">
      <c r="C812" s="20"/>
      <c r="D812" s="20"/>
      <c r="E812" s="20"/>
      <c r="F812" s="21"/>
      <c r="G812" s="21"/>
    </row>
    <row r="813" ht="15.75" customHeight="1">
      <c r="C813" s="20"/>
      <c r="D813" s="20"/>
      <c r="E813" s="20"/>
      <c r="F813" s="21"/>
      <c r="G813" s="21"/>
    </row>
    <row r="814" ht="15.75" customHeight="1">
      <c r="C814" s="20"/>
      <c r="D814" s="20"/>
      <c r="E814" s="20"/>
      <c r="F814" s="21"/>
      <c r="G814" s="21"/>
    </row>
    <row r="815" ht="15.75" customHeight="1">
      <c r="C815" s="20"/>
      <c r="D815" s="20"/>
      <c r="E815" s="20"/>
      <c r="F815" s="21"/>
      <c r="G815" s="21"/>
    </row>
    <row r="816" ht="15.75" customHeight="1">
      <c r="C816" s="20"/>
      <c r="D816" s="20"/>
      <c r="E816" s="20"/>
      <c r="F816" s="21"/>
      <c r="G816" s="21"/>
    </row>
    <row r="817" ht="15.75" customHeight="1">
      <c r="C817" s="20"/>
      <c r="D817" s="20"/>
      <c r="E817" s="20"/>
      <c r="F817" s="21"/>
      <c r="G817" s="21"/>
    </row>
    <row r="818" ht="15.75" customHeight="1">
      <c r="C818" s="20"/>
      <c r="D818" s="20"/>
      <c r="E818" s="20"/>
      <c r="F818" s="21"/>
      <c r="G818" s="21"/>
    </row>
    <row r="819" ht="15.75" customHeight="1">
      <c r="C819" s="20"/>
      <c r="D819" s="20"/>
      <c r="E819" s="20"/>
      <c r="F819" s="21"/>
      <c r="G819" s="21"/>
    </row>
    <row r="820" ht="15.75" customHeight="1">
      <c r="C820" s="20"/>
      <c r="D820" s="20"/>
      <c r="E820" s="20"/>
      <c r="F820" s="21"/>
      <c r="G820" s="21"/>
    </row>
    <row r="821" ht="15.75" customHeight="1">
      <c r="C821" s="20"/>
      <c r="D821" s="20"/>
      <c r="E821" s="20"/>
      <c r="F821" s="21"/>
      <c r="G821" s="21"/>
    </row>
    <row r="822" ht="15.75" customHeight="1">
      <c r="C822" s="20"/>
      <c r="D822" s="20"/>
      <c r="E822" s="20"/>
      <c r="F822" s="21"/>
      <c r="G822" s="21"/>
    </row>
    <row r="823" ht="15.75" customHeight="1">
      <c r="C823" s="20"/>
      <c r="D823" s="20"/>
      <c r="E823" s="20"/>
      <c r="F823" s="21"/>
      <c r="G823" s="21"/>
    </row>
    <row r="824" ht="15.75" customHeight="1">
      <c r="C824" s="20"/>
      <c r="D824" s="20"/>
      <c r="E824" s="20"/>
      <c r="F824" s="21"/>
      <c r="G824" s="21"/>
    </row>
    <row r="825" ht="15.75" customHeight="1">
      <c r="C825" s="20"/>
      <c r="D825" s="20"/>
      <c r="E825" s="20"/>
      <c r="F825" s="21"/>
      <c r="G825" s="21"/>
    </row>
    <row r="826" ht="15.75" customHeight="1">
      <c r="C826" s="20"/>
      <c r="D826" s="20"/>
      <c r="E826" s="20"/>
      <c r="F826" s="21"/>
      <c r="G826" s="21"/>
    </row>
    <row r="827" ht="15.75" customHeight="1">
      <c r="C827" s="20"/>
      <c r="D827" s="20"/>
      <c r="E827" s="20"/>
      <c r="F827" s="21"/>
      <c r="G827" s="21"/>
    </row>
    <row r="828" ht="15.75" customHeight="1">
      <c r="C828" s="20"/>
      <c r="D828" s="20"/>
      <c r="E828" s="20"/>
      <c r="F828" s="21"/>
      <c r="G828" s="21"/>
    </row>
    <row r="829" ht="15.75" customHeight="1">
      <c r="C829" s="20"/>
      <c r="D829" s="20"/>
      <c r="E829" s="20"/>
      <c r="F829" s="21"/>
      <c r="G829" s="21"/>
    </row>
    <row r="830" ht="15.75" customHeight="1">
      <c r="C830" s="20"/>
      <c r="D830" s="20"/>
      <c r="E830" s="20"/>
      <c r="F830" s="21"/>
      <c r="G830" s="21"/>
    </row>
    <row r="831" ht="15.75" customHeight="1">
      <c r="C831" s="20"/>
      <c r="D831" s="20"/>
      <c r="E831" s="20"/>
      <c r="F831" s="21"/>
      <c r="G831" s="21"/>
    </row>
    <row r="832" ht="15.75" customHeight="1">
      <c r="C832" s="20"/>
      <c r="D832" s="20"/>
      <c r="E832" s="20"/>
      <c r="F832" s="21"/>
      <c r="G832" s="21"/>
    </row>
    <row r="833" ht="15.75" customHeight="1">
      <c r="C833" s="20"/>
      <c r="D833" s="20"/>
      <c r="E833" s="20"/>
      <c r="F833" s="21"/>
      <c r="G833" s="21"/>
    </row>
    <row r="834" ht="15.75" customHeight="1">
      <c r="C834" s="20"/>
      <c r="D834" s="20"/>
      <c r="E834" s="20"/>
      <c r="F834" s="21"/>
      <c r="G834" s="21"/>
    </row>
    <row r="835" ht="15.75" customHeight="1">
      <c r="C835" s="20"/>
      <c r="D835" s="20"/>
      <c r="E835" s="20"/>
      <c r="F835" s="21"/>
      <c r="G835" s="21"/>
    </row>
    <row r="836" ht="15.75" customHeight="1">
      <c r="C836" s="20"/>
      <c r="D836" s="20"/>
      <c r="E836" s="20"/>
      <c r="F836" s="21"/>
      <c r="G836" s="21"/>
    </row>
    <row r="837" ht="15.75" customHeight="1">
      <c r="C837" s="20"/>
      <c r="D837" s="20"/>
      <c r="E837" s="20"/>
      <c r="F837" s="21"/>
      <c r="G837" s="21"/>
    </row>
    <row r="838" ht="15.75" customHeight="1">
      <c r="C838" s="20"/>
      <c r="D838" s="20"/>
      <c r="E838" s="20"/>
      <c r="F838" s="21"/>
      <c r="G838" s="21"/>
    </row>
    <row r="839" ht="15.75" customHeight="1">
      <c r="C839" s="20"/>
      <c r="D839" s="20"/>
      <c r="E839" s="20"/>
      <c r="F839" s="21"/>
      <c r="G839" s="21"/>
    </row>
    <row r="840" ht="15.75" customHeight="1">
      <c r="C840" s="20"/>
      <c r="D840" s="20"/>
      <c r="E840" s="20"/>
      <c r="F840" s="21"/>
      <c r="G840" s="21"/>
    </row>
    <row r="841" ht="15.75" customHeight="1">
      <c r="C841" s="20"/>
      <c r="D841" s="20"/>
      <c r="E841" s="20"/>
      <c r="F841" s="21"/>
      <c r="G841" s="21"/>
    </row>
    <row r="842" ht="15.75" customHeight="1">
      <c r="C842" s="20"/>
      <c r="D842" s="20"/>
      <c r="E842" s="20"/>
      <c r="F842" s="21"/>
      <c r="G842" s="21"/>
    </row>
    <row r="843" ht="15.75" customHeight="1">
      <c r="C843" s="20"/>
      <c r="D843" s="20"/>
      <c r="E843" s="20"/>
      <c r="F843" s="21"/>
      <c r="G843" s="21"/>
    </row>
    <row r="844" ht="15.75" customHeight="1">
      <c r="C844" s="20"/>
      <c r="D844" s="20"/>
      <c r="E844" s="20"/>
      <c r="F844" s="21"/>
      <c r="G844" s="21"/>
    </row>
    <row r="845" ht="15.75" customHeight="1">
      <c r="C845" s="20"/>
      <c r="D845" s="20"/>
      <c r="E845" s="20"/>
      <c r="F845" s="21"/>
      <c r="G845" s="21"/>
    </row>
    <row r="846" ht="15.75" customHeight="1">
      <c r="C846" s="20"/>
      <c r="D846" s="20"/>
      <c r="E846" s="20"/>
      <c r="F846" s="21"/>
      <c r="G846" s="21"/>
    </row>
    <row r="847" ht="15.75" customHeight="1">
      <c r="C847" s="20"/>
      <c r="D847" s="20"/>
      <c r="E847" s="20"/>
      <c r="F847" s="21"/>
      <c r="G847" s="21"/>
    </row>
    <row r="848" ht="15.75" customHeight="1">
      <c r="C848" s="20"/>
      <c r="D848" s="20"/>
      <c r="E848" s="20"/>
      <c r="F848" s="21"/>
      <c r="G848" s="21"/>
    </row>
    <row r="849" ht="15.75" customHeight="1">
      <c r="C849" s="20"/>
      <c r="D849" s="20"/>
      <c r="E849" s="20"/>
      <c r="F849" s="21"/>
      <c r="G849" s="21"/>
    </row>
    <row r="850" ht="15.75" customHeight="1">
      <c r="C850" s="20"/>
      <c r="D850" s="20"/>
      <c r="E850" s="20"/>
      <c r="F850" s="21"/>
      <c r="G850" s="21"/>
    </row>
    <row r="851" ht="15.75" customHeight="1">
      <c r="C851" s="20"/>
      <c r="D851" s="20"/>
      <c r="E851" s="20"/>
      <c r="F851" s="21"/>
      <c r="G851" s="21"/>
    </row>
    <row r="852" ht="15.75" customHeight="1">
      <c r="C852" s="20"/>
      <c r="D852" s="20"/>
      <c r="E852" s="20"/>
      <c r="F852" s="21"/>
      <c r="G852" s="21"/>
    </row>
    <row r="853" ht="15.75" customHeight="1">
      <c r="C853" s="20"/>
      <c r="D853" s="20"/>
      <c r="E853" s="20"/>
      <c r="F853" s="21"/>
      <c r="G853" s="21"/>
    </row>
    <row r="854" ht="15.75" customHeight="1">
      <c r="C854" s="20"/>
      <c r="D854" s="20"/>
      <c r="E854" s="20"/>
      <c r="F854" s="21"/>
      <c r="G854" s="21"/>
    </row>
    <row r="855" ht="15.75" customHeight="1">
      <c r="C855" s="20"/>
      <c r="D855" s="20"/>
      <c r="E855" s="20"/>
      <c r="F855" s="21"/>
      <c r="G855" s="21"/>
    </row>
    <row r="856" ht="15.75" customHeight="1">
      <c r="C856" s="20"/>
      <c r="D856" s="20"/>
      <c r="E856" s="20"/>
      <c r="F856" s="21"/>
      <c r="G856" s="21"/>
    </row>
    <row r="857" ht="15.75" customHeight="1">
      <c r="C857" s="20"/>
      <c r="D857" s="20"/>
      <c r="E857" s="20"/>
      <c r="F857" s="21"/>
      <c r="G857" s="21"/>
    </row>
    <row r="858" ht="15.75" customHeight="1">
      <c r="C858" s="20"/>
      <c r="D858" s="20"/>
      <c r="E858" s="20"/>
      <c r="F858" s="21"/>
      <c r="G858" s="21"/>
    </row>
    <row r="859" ht="15.75" customHeight="1">
      <c r="C859" s="20"/>
      <c r="D859" s="20"/>
      <c r="E859" s="20"/>
      <c r="F859" s="21"/>
      <c r="G859" s="21"/>
    </row>
    <row r="860" ht="15.75" customHeight="1">
      <c r="C860" s="20"/>
      <c r="D860" s="20"/>
      <c r="E860" s="20"/>
      <c r="F860" s="21"/>
      <c r="G860" s="21"/>
    </row>
    <row r="861" ht="15.75" customHeight="1">
      <c r="C861" s="20"/>
      <c r="D861" s="20"/>
      <c r="E861" s="20"/>
      <c r="F861" s="21"/>
      <c r="G861" s="21"/>
    </row>
    <row r="862" ht="15.75" customHeight="1">
      <c r="C862" s="20"/>
      <c r="D862" s="20"/>
      <c r="E862" s="20"/>
      <c r="F862" s="21"/>
      <c r="G862" s="21"/>
    </row>
    <row r="863" ht="15.75" customHeight="1">
      <c r="C863" s="20"/>
      <c r="D863" s="20"/>
      <c r="E863" s="20"/>
      <c r="F863" s="21"/>
      <c r="G863" s="21"/>
    </row>
    <row r="864" ht="15.75" customHeight="1">
      <c r="C864" s="20"/>
      <c r="D864" s="20"/>
      <c r="E864" s="20"/>
      <c r="F864" s="21"/>
      <c r="G864" s="21"/>
    </row>
    <row r="865" ht="15.75" customHeight="1">
      <c r="C865" s="20"/>
      <c r="D865" s="20"/>
      <c r="E865" s="20"/>
      <c r="F865" s="21"/>
      <c r="G865" s="21"/>
    </row>
    <row r="866" ht="15.75" customHeight="1">
      <c r="C866" s="20"/>
      <c r="D866" s="20"/>
      <c r="E866" s="20"/>
      <c r="F866" s="21"/>
      <c r="G866" s="21"/>
    </row>
    <row r="867" ht="15.75" customHeight="1">
      <c r="C867" s="20"/>
      <c r="D867" s="20"/>
      <c r="E867" s="20"/>
      <c r="F867" s="21"/>
      <c r="G867" s="21"/>
    </row>
    <row r="868" ht="15.75" customHeight="1">
      <c r="C868" s="20"/>
      <c r="D868" s="20"/>
      <c r="E868" s="20"/>
      <c r="F868" s="21"/>
      <c r="G868" s="21"/>
    </row>
    <row r="869" ht="15.75" customHeight="1">
      <c r="C869" s="20"/>
      <c r="D869" s="20"/>
      <c r="E869" s="20"/>
      <c r="F869" s="21"/>
      <c r="G869" s="21"/>
    </row>
    <row r="870" ht="15.75" customHeight="1">
      <c r="C870" s="20"/>
      <c r="D870" s="20"/>
      <c r="E870" s="20"/>
      <c r="F870" s="21"/>
      <c r="G870" s="21"/>
    </row>
    <row r="871" ht="15.75" customHeight="1">
      <c r="C871" s="20"/>
      <c r="D871" s="20"/>
      <c r="E871" s="20"/>
      <c r="F871" s="21"/>
      <c r="G871" s="21"/>
    </row>
    <row r="872" ht="15.75" customHeight="1">
      <c r="C872" s="20"/>
      <c r="D872" s="20"/>
      <c r="E872" s="20"/>
      <c r="F872" s="21"/>
      <c r="G872" s="21"/>
    </row>
    <row r="873" ht="15.75" customHeight="1">
      <c r="C873" s="20"/>
      <c r="D873" s="20"/>
      <c r="E873" s="20"/>
      <c r="F873" s="21"/>
      <c r="G873" s="21"/>
    </row>
    <row r="874" ht="15.75" customHeight="1">
      <c r="C874" s="20"/>
      <c r="D874" s="20"/>
      <c r="E874" s="20"/>
      <c r="F874" s="21"/>
      <c r="G874" s="21"/>
    </row>
    <row r="875" ht="15.75" customHeight="1">
      <c r="C875" s="20"/>
      <c r="D875" s="20"/>
      <c r="E875" s="20"/>
      <c r="F875" s="21"/>
      <c r="G875" s="21"/>
    </row>
    <row r="876" ht="15.75" customHeight="1">
      <c r="C876" s="20"/>
      <c r="D876" s="20"/>
      <c r="E876" s="20"/>
      <c r="F876" s="21"/>
      <c r="G876" s="21"/>
    </row>
    <row r="877" ht="15.75" customHeight="1">
      <c r="C877" s="20"/>
      <c r="D877" s="20"/>
      <c r="E877" s="20"/>
      <c r="F877" s="21"/>
      <c r="G877" s="21"/>
    </row>
    <row r="878" ht="15.75" customHeight="1">
      <c r="C878" s="20"/>
      <c r="D878" s="20"/>
      <c r="E878" s="20"/>
      <c r="F878" s="21"/>
      <c r="G878" s="21"/>
    </row>
    <row r="879" ht="15.75" customHeight="1">
      <c r="C879" s="20"/>
      <c r="D879" s="20"/>
      <c r="E879" s="20"/>
      <c r="F879" s="21"/>
      <c r="G879" s="21"/>
    </row>
    <row r="880" ht="15.75" customHeight="1">
      <c r="C880" s="20"/>
      <c r="D880" s="20"/>
      <c r="E880" s="20"/>
      <c r="F880" s="21"/>
      <c r="G880" s="21"/>
    </row>
    <row r="881" ht="15.75" customHeight="1">
      <c r="C881" s="20"/>
      <c r="D881" s="20"/>
      <c r="E881" s="20"/>
      <c r="F881" s="21"/>
      <c r="G881" s="21"/>
    </row>
    <row r="882" ht="15.75" customHeight="1">
      <c r="C882" s="20"/>
      <c r="D882" s="20"/>
      <c r="E882" s="20"/>
      <c r="F882" s="21"/>
      <c r="G882" s="21"/>
    </row>
    <row r="883" ht="15.75" customHeight="1">
      <c r="C883" s="20"/>
      <c r="D883" s="20"/>
      <c r="E883" s="20"/>
      <c r="F883" s="21"/>
      <c r="G883" s="21"/>
    </row>
    <row r="884" ht="15.75" customHeight="1">
      <c r="C884" s="20"/>
      <c r="D884" s="20"/>
      <c r="E884" s="20"/>
      <c r="F884" s="21"/>
      <c r="G884" s="21"/>
    </row>
    <row r="885" ht="15.75" customHeight="1">
      <c r="C885" s="20"/>
      <c r="D885" s="20"/>
      <c r="E885" s="20"/>
      <c r="F885" s="21"/>
      <c r="G885" s="21"/>
    </row>
    <row r="886" ht="15.75" customHeight="1">
      <c r="C886" s="20"/>
      <c r="D886" s="20"/>
      <c r="E886" s="20"/>
      <c r="F886" s="21"/>
      <c r="G886" s="21"/>
    </row>
    <row r="887" ht="15.75" customHeight="1">
      <c r="C887" s="20"/>
      <c r="D887" s="20"/>
      <c r="E887" s="20"/>
      <c r="F887" s="21"/>
      <c r="G887" s="21"/>
    </row>
    <row r="888" ht="15.75" customHeight="1">
      <c r="C888" s="20"/>
      <c r="D888" s="20"/>
      <c r="E888" s="20"/>
      <c r="F888" s="21"/>
      <c r="G888" s="21"/>
    </row>
    <row r="889" ht="15.75" customHeight="1">
      <c r="C889" s="20"/>
      <c r="D889" s="20"/>
      <c r="E889" s="20"/>
      <c r="F889" s="21"/>
      <c r="G889" s="21"/>
    </row>
    <row r="890" ht="15.75" customHeight="1">
      <c r="C890" s="20"/>
      <c r="D890" s="20"/>
      <c r="E890" s="20"/>
      <c r="F890" s="21"/>
      <c r="G890" s="21"/>
    </row>
    <row r="891" ht="15.75" customHeight="1">
      <c r="C891" s="20"/>
      <c r="D891" s="20"/>
      <c r="E891" s="20"/>
      <c r="F891" s="21"/>
      <c r="G891" s="21"/>
    </row>
    <row r="892" ht="15.75" customHeight="1">
      <c r="C892" s="20"/>
      <c r="D892" s="20"/>
      <c r="E892" s="20"/>
      <c r="F892" s="21"/>
      <c r="G892" s="21"/>
    </row>
    <row r="893" ht="15.75" customHeight="1">
      <c r="C893" s="20"/>
      <c r="D893" s="20"/>
      <c r="E893" s="20"/>
      <c r="F893" s="21"/>
      <c r="G893" s="21"/>
    </row>
    <row r="894" ht="15.75" customHeight="1">
      <c r="C894" s="20"/>
      <c r="D894" s="20"/>
      <c r="E894" s="20"/>
      <c r="F894" s="21"/>
      <c r="G894" s="21"/>
    </row>
    <row r="895" ht="15.75" customHeight="1">
      <c r="C895" s="20"/>
      <c r="D895" s="20"/>
      <c r="E895" s="20"/>
      <c r="F895" s="21"/>
      <c r="G895" s="21"/>
    </row>
    <row r="896" ht="15.75" customHeight="1">
      <c r="C896" s="20"/>
      <c r="D896" s="20"/>
      <c r="E896" s="20"/>
      <c r="F896" s="21"/>
      <c r="G896" s="21"/>
    </row>
    <row r="897" ht="15.75" customHeight="1">
      <c r="C897" s="20"/>
      <c r="D897" s="20"/>
      <c r="E897" s="20"/>
      <c r="F897" s="21"/>
      <c r="G897" s="21"/>
    </row>
    <row r="898" ht="15.75" customHeight="1">
      <c r="C898" s="20"/>
      <c r="D898" s="20"/>
      <c r="E898" s="20"/>
      <c r="F898" s="21"/>
      <c r="G898" s="21"/>
    </row>
    <row r="899" ht="15.75" customHeight="1">
      <c r="C899" s="20"/>
      <c r="D899" s="20"/>
      <c r="E899" s="20"/>
      <c r="F899" s="21"/>
      <c r="G899" s="21"/>
    </row>
    <row r="900" ht="15.75" customHeight="1">
      <c r="C900" s="20"/>
      <c r="D900" s="20"/>
      <c r="E900" s="20"/>
      <c r="F900" s="21"/>
      <c r="G900" s="21"/>
    </row>
    <row r="901" ht="15.75" customHeight="1">
      <c r="C901" s="20"/>
      <c r="D901" s="20"/>
      <c r="E901" s="20"/>
      <c r="F901" s="21"/>
      <c r="G901" s="21"/>
    </row>
    <row r="902" ht="15.75" customHeight="1">
      <c r="C902" s="20"/>
      <c r="D902" s="20"/>
      <c r="E902" s="20"/>
      <c r="F902" s="21"/>
      <c r="G902" s="21"/>
    </row>
    <row r="903" ht="15.75" customHeight="1">
      <c r="C903" s="20"/>
      <c r="D903" s="20"/>
      <c r="E903" s="20"/>
      <c r="F903" s="21"/>
      <c r="G903" s="21"/>
    </row>
    <row r="904" ht="15.75" customHeight="1">
      <c r="C904" s="20"/>
      <c r="D904" s="20"/>
      <c r="E904" s="20"/>
      <c r="F904" s="21"/>
      <c r="G904" s="21"/>
    </row>
    <row r="905" ht="15.75" customHeight="1">
      <c r="C905" s="20"/>
      <c r="D905" s="20"/>
      <c r="E905" s="20"/>
      <c r="F905" s="21"/>
      <c r="G905" s="21"/>
    </row>
    <row r="906" ht="15.75" customHeight="1">
      <c r="C906" s="20"/>
      <c r="D906" s="20"/>
      <c r="E906" s="20"/>
      <c r="F906" s="21"/>
      <c r="G906" s="21"/>
    </row>
    <row r="907" ht="15.75" customHeight="1">
      <c r="C907" s="20"/>
      <c r="D907" s="20"/>
      <c r="E907" s="20"/>
      <c r="F907" s="21"/>
      <c r="G907" s="21"/>
    </row>
    <row r="908" ht="15.75" customHeight="1">
      <c r="C908" s="20"/>
      <c r="D908" s="20"/>
      <c r="E908" s="20"/>
      <c r="F908" s="21"/>
      <c r="G908" s="21"/>
    </row>
    <row r="909" ht="15.75" customHeight="1">
      <c r="C909" s="20"/>
      <c r="D909" s="20"/>
      <c r="E909" s="20"/>
      <c r="F909" s="21"/>
      <c r="G909" s="21"/>
    </row>
    <row r="910" ht="15.75" customHeight="1">
      <c r="C910" s="20"/>
      <c r="D910" s="20"/>
      <c r="E910" s="20"/>
      <c r="F910" s="21"/>
      <c r="G910" s="21"/>
    </row>
    <row r="911" ht="15.75" customHeight="1">
      <c r="C911" s="20"/>
      <c r="D911" s="20"/>
      <c r="E911" s="20"/>
      <c r="F911" s="21"/>
      <c r="G911" s="21"/>
    </row>
    <row r="912" ht="15.75" customHeight="1">
      <c r="C912" s="20"/>
      <c r="D912" s="20"/>
      <c r="E912" s="20"/>
      <c r="F912" s="21"/>
      <c r="G912" s="21"/>
    </row>
    <row r="913" ht="15.75" customHeight="1">
      <c r="C913" s="20"/>
      <c r="D913" s="20"/>
      <c r="E913" s="20"/>
      <c r="F913" s="21"/>
      <c r="G913" s="21"/>
    </row>
    <row r="914" ht="15.75" customHeight="1">
      <c r="C914" s="20"/>
      <c r="D914" s="20"/>
      <c r="E914" s="20"/>
      <c r="F914" s="21"/>
      <c r="G914" s="21"/>
    </row>
    <row r="915" ht="15.75" customHeight="1">
      <c r="C915" s="20"/>
      <c r="D915" s="20"/>
      <c r="E915" s="20"/>
      <c r="F915" s="21"/>
      <c r="G915" s="21"/>
    </row>
    <row r="916" ht="15.75" customHeight="1">
      <c r="C916" s="20"/>
      <c r="D916" s="20"/>
      <c r="E916" s="20"/>
      <c r="F916" s="21"/>
      <c r="G916" s="21"/>
    </row>
    <row r="917" ht="15.75" customHeight="1">
      <c r="C917" s="20"/>
      <c r="D917" s="20"/>
      <c r="E917" s="20"/>
      <c r="F917" s="21"/>
      <c r="G917" s="21"/>
    </row>
    <row r="918" ht="15.75" customHeight="1">
      <c r="C918" s="20"/>
      <c r="D918" s="20"/>
      <c r="E918" s="20"/>
      <c r="F918" s="21"/>
      <c r="G918" s="21"/>
    </row>
    <row r="919" ht="15.75" customHeight="1">
      <c r="C919" s="20"/>
      <c r="D919" s="20"/>
      <c r="E919" s="20"/>
      <c r="F919" s="21"/>
      <c r="G919" s="21"/>
    </row>
    <row r="920" ht="15.75" customHeight="1">
      <c r="C920" s="20"/>
      <c r="D920" s="20"/>
      <c r="E920" s="20"/>
      <c r="F920" s="21"/>
      <c r="G920" s="21"/>
    </row>
    <row r="921" ht="15.75" customHeight="1">
      <c r="C921" s="20"/>
      <c r="D921" s="20"/>
      <c r="E921" s="20"/>
      <c r="F921" s="21"/>
      <c r="G921" s="21"/>
    </row>
    <row r="922" ht="15.75" customHeight="1">
      <c r="C922" s="20"/>
      <c r="D922" s="20"/>
      <c r="E922" s="20"/>
      <c r="F922" s="21"/>
      <c r="G922" s="21"/>
    </row>
    <row r="923" ht="15.75" customHeight="1">
      <c r="C923" s="20"/>
      <c r="D923" s="20"/>
      <c r="E923" s="20"/>
      <c r="F923" s="21"/>
      <c r="G923" s="21"/>
    </row>
    <row r="924" ht="15.75" customHeight="1">
      <c r="C924" s="20"/>
      <c r="D924" s="20"/>
      <c r="E924" s="20"/>
      <c r="F924" s="21"/>
      <c r="G924" s="21"/>
    </row>
    <row r="925" ht="15.75" customHeight="1">
      <c r="C925" s="20"/>
      <c r="D925" s="20"/>
      <c r="E925" s="20"/>
      <c r="F925" s="21"/>
      <c r="G925" s="21"/>
    </row>
    <row r="926" ht="15.75" customHeight="1">
      <c r="C926" s="20"/>
      <c r="D926" s="20"/>
      <c r="E926" s="20"/>
      <c r="F926" s="21"/>
      <c r="G926" s="21"/>
    </row>
    <row r="927" ht="15.75" customHeight="1">
      <c r="C927" s="20"/>
      <c r="D927" s="20"/>
      <c r="E927" s="20"/>
      <c r="F927" s="21"/>
      <c r="G927" s="21"/>
    </row>
    <row r="928" ht="15.75" customHeight="1">
      <c r="C928" s="20"/>
      <c r="D928" s="20"/>
      <c r="E928" s="20"/>
      <c r="F928" s="21"/>
      <c r="G928" s="21"/>
    </row>
    <row r="929" ht="15.75" customHeight="1">
      <c r="C929" s="20"/>
      <c r="D929" s="20"/>
      <c r="E929" s="20"/>
      <c r="F929" s="21"/>
      <c r="G929" s="21"/>
    </row>
    <row r="930" ht="15.75" customHeight="1">
      <c r="C930" s="20"/>
      <c r="D930" s="20"/>
      <c r="E930" s="20"/>
      <c r="F930" s="21"/>
      <c r="G930" s="21"/>
    </row>
    <row r="931" ht="15.75" customHeight="1">
      <c r="C931" s="20"/>
      <c r="D931" s="20"/>
      <c r="E931" s="20"/>
      <c r="F931" s="21"/>
      <c r="G931" s="21"/>
    </row>
    <row r="932" ht="15.75" customHeight="1">
      <c r="C932" s="20"/>
      <c r="D932" s="20"/>
      <c r="E932" s="20"/>
      <c r="F932" s="21"/>
      <c r="G932" s="21"/>
    </row>
    <row r="933" ht="15.75" customHeight="1">
      <c r="C933" s="20"/>
      <c r="D933" s="20"/>
      <c r="E933" s="20"/>
      <c r="F933" s="21"/>
      <c r="G933" s="21"/>
    </row>
    <row r="934" ht="15.75" customHeight="1">
      <c r="C934" s="20"/>
      <c r="D934" s="20"/>
      <c r="E934" s="20"/>
      <c r="F934" s="21"/>
      <c r="G934" s="21"/>
    </row>
    <row r="935" ht="15.75" customHeight="1">
      <c r="C935" s="20"/>
      <c r="D935" s="20"/>
      <c r="E935" s="20"/>
      <c r="F935" s="21"/>
      <c r="G935" s="21"/>
    </row>
    <row r="936" ht="15.75" customHeight="1">
      <c r="C936" s="20"/>
      <c r="D936" s="20"/>
      <c r="E936" s="20"/>
      <c r="F936" s="21"/>
      <c r="G936" s="21"/>
    </row>
    <row r="937" ht="15.75" customHeight="1">
      <c r="C937" s="20"/>
      <c r="D937" s="20"/>
      <c r="E937" s="20"/>
      <c r="F937" s="21"/>
      <c r="G937" s="21"/>
    </row>
    <row r="938" ht="15.75" customHeight="1">
      <c r="C938" s="20"/>
      <c r="D938" s="20"/>
      <c r="E938" s="20"/>
      <c r="F938" s="21"/>
      <c r="G938" s="21"/>
    </row>
    <row r="939" ht="15.75" customHeight="1">
      <c r="C939" s="20"/>
      <c r="D939" s="20"/>
      <c r="E939" s="20"/>
      <c r="F939" s="21"/>
      <c r="G939" s="21"/>
    </row>
    <row r="940" ht="15.75" customHeight="1">
      <c r="C940" s="20"/>
      <c r="D940" s="20"/>
      <c r="E940" s="20"/>
      <c r="F940" s="21"/>
      <c r="G940" s="21"/>
    </row>
    <row r="941" ht="15.75" customHeight="1">
      <c r="C941" s="20"/>
      <c r="D941" s="20"/>
      <c r="E941" s="20"/>
      <c r="F941" s="21"/>
      <c r="G941" s="21"/>
    </row>
    <row r="942" ht="15.75" customHeight="1">
      <c r="C942" s="20"/>
      <c r="D942" s="20"/>
      <c r="E942" s="20"/>
      <c r="F942" s="21"/>
      <c r="G942" s="21"/>
    </row>
    <row r="943" ht="15.75" customHeight="1">
      <c r="C943" s="20"/>
      <c r="D943" s="20"/>
      <c r="E943" s="20"/>
      <c r="F943" s="21"/>
      <c r="G943" s="21"/>
    </row>
    <row r="944" ht="15.75" customHeight="1">
      <c r="C944" s="20"/>
      <c r="D944" s="20"/>
      <c r="E944" s="20"/>
      <c r="F944" s="21"/>
      <c r="G944" s="21"/>
    </row>
    <row r="945" ht="15.75" customHeight="1">
      <c r="C945" s="20"/>
      <c r="D945" s="20"/>
      <c r="E945" s="20"/>
      <c r="F945" s="21"/>
      <c r="G945" s="21"/>
    </row>
    <row r="946" ht="15.75" customHeight="1">
      <c r="C946" s="20"/>
      <c r="D946" s="20"/>
      <c r="E946" s="20"/>
      <c r="F946" s="21"/>
      <c r="G946" s="21"/>
    </row>
    <row r="947" ht="15.75" customHeight="1">
      <c r="C947" s="20"/>
      <c r="D947" s="20"/>
      <c r="E947" s="20"/>
      <c r="F947" s="21"/>
      <c r="G947" s="21"/>
    </row>
    <row r="948" ht="15.75" customHeight="1">
      <c r="C948" s="20"/>
      <c r="D948" s="20"/>
      <c r="E948" s="20"/>
      <c r="F948" s="21"/>
      <c r="G948" s="21"/>
    </row>
    <row r="949" ht="15.75" customHeight="1">
      <c r="C949" s="20"/>
      <c r="D949" s="20"/>
      <c r="E949" s="20"/>
      <c r="F949" s="21"/>
      <c r="G949" s="21"/>
    </row>
    <row r="950" ht="15.75" customHeight="1">
      <c r="C950" s="20"/>
      <c r="D950" s="20"/>
      <c r="E950" s="20"/>
      <c r="F950" s="21"/>
      <c r="G950" s="21"/>
    </row>
    <row r="951" ht="15.75" customHeight="1">
      <c r="C951" s="20"/>
      <c r="D951" s="20"/>
      <c r="E951" s="20"/>
      <c r="F951" s="21"/>
      <c r="G951" s="21"/>
    </row>
    <row r="952" ht="15.75" customHeight="1">
      <c r="C952" s="20"/>
      <c r="D952" s="20"/>
      <c r="E952" s="20"/>
      <c r="F952" s="21"/>
      <c r="G952" s="21"/>
    </row>
    <row r="953" ht="15.75" customHeight="1">
      <c r="C953" s="20"/>
      <c r="D953" s="20"/>
      <c r="E953" s="20"/>
      <c r="F953" s="21"/>
      <c r="G953" s="21"/>
    </row>
    <row r="954" ht="15.75" customHeight="1">
      <c r="C954" s="20"/>
      <c r="D954" s="20"/>
      <c r="E954" s="20"/>
      <c r="F954" s="21"/>
      <c r="G954" s="21"/>
    </row>
    <row r="955" ht="15.75" customHeight="1">
      <c r="C955" s="20"/>
      <c r="D955" s="20"/>
      <c r="E955" s="20"/>
      <c r="F955" s="21"/>
      <c r="G955" s="21"/>
    </row>
    <row r="956" ht="15.75" customHeight="1">
      <c r="C956" s="20"/>
      <c r="D956" s="20"/>
      <c r="E956" s="20"/>
      <c r="F956" s="21"/>
      <c r="G956" s="21"/>
    </row>
    <row r="957" ht="15.75" customHeight="1">
      <c r="C957" s="20"/>
      <c r="D957" s="20"/>
      <c r="E957" s="20"/>
      <c r="F957" s="21"/>
      <c r="G957" s="21"/>
    </row>
    <row r="958" ht="15.75" customHeight="1">
      <c r="C958" s="20"/>
      <c r="D958" s="20"/>
      <c r="E958" s="20"/>
      <c r="F958" s="21"/>
      <c r="G958" s="21"/>
    </row>
    <row r="959" ht="15.75" customHeight="1">
      <c r="C959" s="20"/>
      <c r="D959" s="20"/>
      <c r="E959" s="20"/>
      <c r="F959" s="21"/>
      <c r="G959" s="21"/>
    </row>
    <row r="960" ht="15.75" customHeight="1">
      <c r="C960" s="20"/>
      <c r="D960" s="20"/>
      <c r="E960" s="20"/>
      <c r="F960" s="21"/>
      <c r="G960" s="21"/>
    </row>
    <row r="961" ht="15.75" customHeight="1">
      <c r="C961" s="20"/>
      <c r="D961" s="20"/>
      <c r="E961" s="20"/>
      <c r="F961" s="21"/>
      <c r="G961" s="21"/>
    </row>
    <row r="962" ht="15.75" customHeight="1">
      <c r="C962" s="20"/>
      <c r="D962" s="20"/>
      <c r="E962" s="20"/>
      <c r="F962" s="21"/>
      <c r="G962" s="21"/>
    </row>
    <row r="963" ht="15.75" customHeight="1">
      <c r="C963" s="20"/>
      <c r="D963" s="20"/>
      <c r="E963" s="20"/>
      <c r="F963" s="21"/>
      <c r="G963" s="21"/>
    </row>
    <row r="964" ht="15.75" customHeight="1">
      <c r="C964" s="20"/>
      <c r="D964" s="20"/>
      <c r="E964" s="20"/>
      <c r="F964" s="21"/>
      <c r="G964" s="21"/>
    </row>
    <row r="965" ht="15.75" customHeight="1">
      <c r="C965" s="20"/>
      <c r="D965" s="20"/>
      <c r="E965" s="20"/>
      <c r="F965" s="21"/>
      <c r="G965" s="21"/>
    </row>
    <row r="966" ht="15.75" customHeight="1">
      <c r="C966" s="20"/>
      <c r="D966" s="20"/>
      <c r="E966" s="20"/>
      <c r="F966" s="21"/>
      <c r="G966" s="21"/>
    </row>
    <row r="967" ht="15.75" customHeight="1">
      <c r="C967" s="20"/>
      <c r="D967" s="20"/>
      <c r="E967" s="20"/>
      <c r="F967" s="21"/>
      <c r="G967" s="21"/>
    </row>
    <row r="968" ht="15.75" customHeight="1">
      <c r="C968" s="20"/>
      <c r="D968" s="20"/>
      <c r="E968" s="20"/>
      <c r="F968" s="21"/>
      <c r="G968" s="21"/>
    </row>
    <row r="969" ht="15.75" customHeight="1">
      <c r="C969" s="20"/>
      <c r="D969" s="20"/>
      <c r="E969" s="20"/>
      <c r="F969" s="21"/>
      <c r="G969" s="21"/>
    </row>
    <row r="970" ht="15.75" customHeight="1">
      <c r="C970" s="20"/>
      <c r="D970" s="20"/>
      <c r="E970" s="20"/>
      <c r="F970" s="21"/>
      <c r="G970" s="21"/>
    </row>
    <row r="971" ht="15.75" customHeight="1">
      <c r="C971" s="20"/>
      <c r="D971" s="20"/>
      <c r="E971" s="20"/>
      <c r="F971" s="21"/>
      <c r="G971" s="21"/>
    </row>
    <row r="972" ht="15.75" customHeight="1">
      <c r="C972" s="20"/>
      <c r="D972" s="20"/>
      <c r="E972" s="20"/>
      <c r="F972" s="21"/>
      <c r="G972" s="21"/>
    </row>
    <row r="973" ht="15.75" customHeight="1">
      <c r="C973" s="20"/>
      <c r="D973" s="20"/>
      <c r="E973" s="20"/>
      <c r="F973" s="21"/>
      <c r="G973" s="21"/>
    </row>
    <row r="974" ht="15.75" customHeight="1">
      <c r="C974" s="20"/>
      <c r="D974" s="20"/>
      <c r="E974" s="20"/>
      <c r="F974" s="21"/>
      <c r="G974" s="21"/>
    </row>
    <row r="975" ht="15.75" customHeight="1">
      <c r="C975" s="20"/>
      <c r="D975" s="20"/>
      <c r="E975" s="20"/>
      <c r="F975" s="21"/>
      <c r="G975" s="21"/>
    </row>
    <row r="976" ht="15.75" customHeight="1">
      <c r="C976" s="20"/>
      <c r="D976" s="20"/>
      <c r="E976" s="20"/>
      <c r="F976" s="21"/>
      <c r="G976" s="21"/>
    </row>
    <row r="977" ht="15.75" customHeight="1">
      <c r="C977" s="20"/>
      <c r="D977" s="20"/>
      <c r="E977" s="20"/>
      <c r="F977" s="21"/>
      <c r="G977" s="21"/>
    </row>
    <row r="978" ht="15.75" customHeight="1">
      <c r="C978" s="20"/>
      <c r="D978" s="20"/>
      <c r="E978" s="20"/>
      <c r="F978" s="21"/>
      <c r="G978" s="21"/>
    </row>
    <row r="979" ht="15.75" customHeight="1">
      <c r="C979" s="20"/>
      <c r="D979" s="20"/>
      <c r="E979" s="20"/>
      <c r="F979" s="21"/>
      <c r="G979" s="21"/>
    </row>
    <row r="980" ht="15.75" customHeight="1">
      <c r="C980" s="20"/>
      <c r="D980" s="20"/>
      <c r="E980" s="20"/>
      <c r="F980" s="21"/>
      <c r="G980" s="21"/>
    </row>
    <row r="981" ht="15.75" customHeight="1">
      <c r="C981" s="20"/>
      <c r="D981" s="20"/>
      <c r="E981" s="20"/>
      <c r="F981" s="21"/>
      <c r="G981" s="21"/>
    </row>
    <row r="982" ht="15.75" customHeight="1">
      <c r="C982" s="20"/>
      <c r="D982" s="20"/>
      <c r="E982" s="20"/>
      <c r="F982" s="21"/>
      <c r="G982" s="21"/>
    </row>
    <row r="983" ht="15.75" customHeight="1">
      <c r="C983" s="20"/>
      <c r="D983" s="20"/>
      <c r="E983" s="20"/>
      <c r="F983" s="21"/>
      <c r="G983" s="21"/>
    </row>
    <row r="984" ht="15.75" customHeight="1">
      <c r="C984" s="20"/>
      <c r="D984" s="20"/>
      <c r="E984" s="20"/>
      <c r="F984" s="21"/>
      <c r="G984" s="21"/>
    </row>
    <row r="985" ht="15.75" customHeight="1">
      <c r="C985" s="20"/>
      <c r="D985" s="20"/>
      <c r="E985" s="20"/>
      <c r="F985" s="21"/>
      <c r="G985" s="21"/>
    </row>
    <row r="986" ht="15.75" customHeight="1">
      <c r="C986" s="20"/>
      <c r="D986" s="20"/>
      <c r="E986" s="20"/>
      <c r="F986" s="21"/>
      <c r="G986" s="21"/>
    </row>
    <row r="987" ht="15.75" customHeight="1">
      <c r="C987" s="20"/>
      <c r="D987" s="20"/>
      <c r="E987" s="20"/>
      <c r="F987" s="21"/>
      <c r="G987" s="21"/>
    </row>
    <row r="988" ht="15.75" customHeight="1">
      <c r="C988" s="20"/>
      <c r="D988" s="20"/>
      <c r="E988" s="20"/>
      <c r="F988" s="21"/>
      <c r="G988" s="21"/>
    </row>
    <row r="989" ht="15.75" customHeight="1">
      <c r="C989" s="20"/>
      <c r="D989" s="20"/>
      <c r="E989" s="20"/>
      <c r="F989" s="21"/>
      <c r="G989" s="21"/>
    </row>
    <row r="990" ht="15.75" customHeight="1">
      <c r="C990" s="20"/>
      <c r="D990" s="20"/>
      <c r="E990" s="20"/>
      <c r="F990" s="21"/>
      <c r="G990" s="21"/>
    </row>
    <row r="991" ht="15.75" customHeight="1">
      <c r="C991" s="20"/>
      <c r="D991" s="20"/>
      <c r="E991" s="20"/>
      <c r="F991" s="21"/>
      <c r="G991" s="21"/>
    </row>
    <row r="992" ht="15.75" customHeight="1">
      <c r="C992" s="20"/>
      <c r="D992" s="20"/>
      <c r="E992" s="20"/>
      <c r="F992" s="21"/>
      <c r="G992" s="21"/>
    </row>
    <row r="993" ht="15.75" customHeight="1">
      <c r="C993" s="20"/>
      <c r="D993" s="20"/>
      <c r="E993" s="20"/>
      <c r="F993" s="21"/>
      <c r="G993" s="21"/>
    </row>
    <row r="994" ht="15.75" customHeight="1">
      <c r="C994" s="20"/>
      <c r="D994" s="20"/>
      <c r="E994" s="20"/>
      <c r="F994" s="21"/>
      <c r="G994" s="21"/>
    </row>
    <row r="995" ht="15.75" customHeight="1">
      <c r="C995" s="20"/>
      <c r="D995" s="20"/>
      <c r="E995" s="20"/>
      <c r="F995" s="21"/>
      <c r="G995" s="21"/>
    </row>
    <row r="996" ht="15.75" customHeight="1">
      <c r="C996" s="20"/>
      <c r="D996" s="20"/>
      <c r="E996" s="20"/>
      <c r="F996" s="21"/>
      <c r="G996" s="21"/>
    </row>
    <row r="997" ht="15.75" customHeight="1">
      <c r="C997" s="20"/>
      <c r="D997" s="20"/>
      <c r="E997" s="20"/>
      <c r="F997" s="21"/>
      <c r="G997" s="21"/>
    </row>
    <row r="998" ht="15.75" customHeight="1">
      <c r="C998" s="20"/>
      <c r="D998" s="20"/>
      <c r="E998" s="20"/>
      <c r="F998" s="21"/>
      <c r="G998" s="21"/>
    </row>
    <row r="999" ht="15.75" customHeight="1">
      <c r="C999" s="20"/>
      <c r="D999" s="20"/>
      <c r="E999" s="20"/>
      <c r="F999" s="21"/>
      <c r="G999" s="21"/>
    </row>
    <row r="1000" ht="15.75" customHeight="1">
      <c r="C1000" s="20"/>
      <c r="D1000" s="20"/>
      <c r="E1000" s="20"/>
      <c r="F1000" s="21"/>
      <c r="G1000" s="21"/>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rmsprop">
    <pageSetUpPr/>
  </sheetPr>
  <sheetViews>
    <sheetView workbookViewId="0">
      <pane xSplit="3.0" ySplit="3.0" topLeftCell="D4" activePane="bottomRight" state="frozen"/>
      <selection activeCell="D1" sqref="D1" pane="topRight"/>
      <selection activeCell="A4" sqref="A4" pane="bottomLeft"/>
      <selection activeCell="D4" sqref="D4" pane="bottomRight"/>
    </sheetView>
  </sheetViews>
  <sheetFormatPr customHeight="1" defaultColWidth="14.43" defaultRowHeight="15.0"/>
  <cols>
    <col customWidth="1" min="1" max="3" width="8.86"/>
    <col customWidth="1" min="4" max="4" width="10.86"/>
    <col customWidth="1" min="5" max="5" width="9.14"/>
    <col customWidth="1" min="6" max="6" width="10.86"/>
    <col customWidth="1" min="7" max="7" width="10.14"/>
    <col customWidth="1" min="8" max="8" width="8.29"/>
    <col customWidth="1" min="9" max="9" width="5.86"/>
    <col customWidth="1" min="10" max="10" width="8.29"/>
    <col customWidth="1" min="11" max="11" width="11.71"/>
    <col customWidth="1" min="12" max="26" width="8.86"/>
  </cols>
  <sheetData>
    <row r="1">
      <c r="B1" s="14" t="s">
        <v>31</v>
      </c>
      <c r="C1" s="20">
        <v>3.1890676512613103</v>
      </c>
      <c r="D1" s="20" t="s">
        <v>38</v>
      </c>
      <c r="E1" s="20"/>
      <c r="F1" s="21"/>
      <c r="G1" s="21"/>
      <c r="J1" s="14">
        <v>0.9</v>
      </c>
      <c r="K1" s="14">
        <f>1-J1</f>
        <v>0.1</v>
      </c>
    </row>
    <row r="2">
      <c r="B2" s="14" t="s">
        <v>33</v>
      </c>
      <c r="C2" s="20">
        <v>2.4036203537069443</v>
      </c>
      <c r="D2" s="14">
        <v>0.02</v>
      </c>
      <c r="E2" s="20"/>
      <c r="F2" s="22"/>
      <c r="G2" s="22"/>
    </row>
    <row r="3">
      <c r="A3" s="15" t="s">
        <v>35</v>
      </c>
      <c r="B3" s="15" t="s">
        <v>36</v>
      </c>
      <c r="C3" s="23" t="s">
        <v>31</v>
      </c>
      <c r="D3" s="23" t="s">
        <v>33</v>
      </c>
      <c r="E3" s="23" t="s">
        <v>55</v>
      </c>
      <c r="F3" s="24" t="s">
        <v>48</v>
      </c>
      <c r="G3" s="24" t="s">
        <v>49</v>
      </c>
      <c r="H3" s="15" t="s">
        <v>51</v>
      </c>
      <c r="I3" s="15" t="s">
        <v>50</v>
      </c>
      <c r="J3" s="26">
        <f t="shared" ref="J3:K3" si="1">J33</f>
        <v>1134.424152</v>
      </c>
      <c r="K3" s="14">
        <f t="shared" si="1"/>
        <v>1679911.369</v>
      </c>
      <c r="L3" s="15"/>
      <c r="M3" s="15"/>
      <c r="N3" s="15"/>
      <c r="O3" s="15"/>
      <c r="P3" s="15"/>
      <c r="Q3" s="15"/>
      <c r="R3" s="15"/>
      <c r="S3" s="15"/>
      <c r="T3" s="15"/>
      <c r="U3" s="15"/>
      <c r="V3" s="15"/>
      <c r="W3" s="15"/>
      <c r="X3" s="15"/>
      <c r="Y3" s="15"/>
      <c r="Z3" s="15"/>
    </row>
    <row r="4">
      <c r="A4" s="14">
        <v>14.0</v>
      </c>
      <c r="B4" s="14">
        <v>58.0</v>
      </c>
      <c r="C4" s="20">
        <f>C1</f>
        <v>3.189067651</v>
      </c>
      <c r="D4" s="20">
        <f>C2</f>
        <v>2.403620354</v>
      </c>
      <c r="E4" s="20">
        <f t="shared" ref="E4:E32" si="5">C4+D4*A4</f>
        <v>36.8397526</v>
      </c>
      <c r="F4" s="21">
        <f t="shared" ref="F4:F32" si="6">2*(D4*A4+C4-B4)</f>
        <v>-42.32049479</v>
      </c>
      <c r="G4" s="21">
        <f t="shared" ref="G4:G32" si="7">F4*A4</f>
        <v>-592.4869271</v>
      </c>
      <c r="H4" s="17">
        <f t="shared" ref="H4:I4" si="2">C4-F4*$D$2/SQRT(J3)</f>
        <v>3.214197681</v>
      </c>
      <c r="I4" s="17">
        <f t="shared" si="2"/>
        <v>2.412762867</v>
      </c>
      <c r="J4" s="14">
        <f t="shared" ref="J4:K4" si="3">J3*$J$1+$K$1*F4^2</f>
        <v>1200.084165</v>
      </c>
      <c r="K4" s="14">
        <f t="shared" si="3"/>
        <v>1547024.308</v>
      </c>
    </row>
    <row r="5">
      <c r="A5" s="14">
        <v>86.0</v>
      </c>
      <c r="B5" s="14">
        <v>202.0</v>
      </c>
      <c r="C5" s="20">
        <f t="shared" ref="C5:D5" si="4">H4</f>
        <v>3.214197681</v>
      </c>
      <c r="D5" s="20">
        <f t="shared" si="4"/>
        <v>2.412762867</v>
      </c>
      <c r="E5" s="20">
        <f t="shared" si="5"/>
        <v>210.7118042</v>
      </c>
      <c r="F5" s="21">
        <f t="shared" si="6"/>
        <v>17.42360842</v>
      </c>
      <c r="G5" s="21">
        <f t="shared" si="7"/>
        <v>1498.430324</v>
      </c>
      <c r="H5" s="17">
        <f t="shared" ref="H5:I5" si="8">C5-F5*$D$2/SQRT(J4)</f>
        <v>3.204138509</v>
      </c>
      <c r="I5" s="17">
        <f t="shared" si="8"/>
        <v>2.388668363</v>
      </c>
      <c r="J5" s="14">
        <f t="shared" ref="J5:K5" si="9">J4*$J$1+$K$1*F5^2</f>
        <v>1110.433961</v>
      </c>
      <c r="K5" s="14">
        <f t="shared" si="9"/>
        <v>1616851.221</v>
      </c>
    </row>
    <row r="6">
      <c r="A6" s="14">
        <v>28.0</v>
      </c>
      <c r="B6" s="14">
        <v>86.0</v>
      </c>
      <c r="C6" s="20">
        <f t="shared" ref="C6:D6" si="10">H5</f>
        <v>3.204138509</v>
      </c>
      <c r="D6" s="20">
        <f t="shared" si="10"/>
        <v>2.388668363</v>
      </c>
      <c r="E6" s="20">
        <f t="shared" si="5"/>
        <v>70.08685268</v>
      </c>
      <c r="F6" s="21">
        <f t="shared" si="6"/>
        <v>-31.82629464</v>
      </c>
      <c r="G6" s="21">
        <f t="shared" si="7"/>
        <v>-891.13625</v>
      </c>
      <c r="H6" s="17">
        <f t="shared" ref="H6:I6" si="11">C6-F6*$D$2/SQRT(J5)</f>
        <v>3.223240107</v>
      </c>
      <c r="I6" s="17">
        <f t="shared" si="11"/>
        <v>2.402684847</v>
      </c>
      <c r="J6" s="14">
        <f t="shared" ref="J6:K6" si="12">J5*$J$1+$K$1*F6^2</f>
        <v>1100.681868</v>
      </c>
      <c r="K6" s="14">
        <f t="shared" si="12"/>
        <v>1534578.48</v>
      </c>
    </row>
    <row r="7">
      <c r="A7" s="14">
        <v>51.0</v>
      </c>
      <c r="B7" s="14">
        <v>132.0</v>
      </c>
      <c r="C7" s="20">
        <f t="shared" ref="C7:D7" si="13">H6</f>
        <v>3.223240107</v>
      </c>
      <c r="D7" s="20">
        <f t="shared" si="13"/>
        <v>2.402684847</v>
      </c>
      <c r="E7" s="20">
        <f t="shared" si="5"/>
        <v>125.7601673</v>
      </c>
      <c r="F7" s="21">
        <f t="shared" si="6"/>
        <v>-12.4796654</v>
      </c>
      <c r="G7" s="21">
        <f t="shared" si="7"/>
        <v>-636.4629354</v>
      </c>
      <c r="H7" s="17">
        <f t="shared" ref="H7:I7" si="14">C7-F7*$D$2/SQRT(J6)</f>
        <v>3.230763297</v>
      </c>
      <c r="I7" s="17">
        <f t="shared" si="14"/>
        <v>2.412960479</v>
      </c>
      <c r="J7" s="14">
        <f t="shared" ref="J7:K7" si="15">J6*$J$1+$K$1*F7^2</f>
        <v>1006.187886</v>
      </c>
      <c r="K7" s="14">
        <f t="shared" si="15"/>
        <v>1421629.139</v>
      </c>
    </row>
    <row r="8">
      <c r="A8" s="14">
        <v>28.0</v>
      </c>
      <c r="B8" s="14">
        <v>86.0</v>
      </c>
      <c r="C8" s="20">
        <f t="shared" ref="C8:D8" si="16">H7</f>
        <v>3.230763297</v>
      </c>
      <c r="D8" s="20">
        <f t="shared" si="16"/>
        <v>2.412960479</v>
      </c>
      <c r="E8" s="20">
        <f t="shared" si="5"/>
        <v>70.79365672</v>
      </c>
      <c r="F8" s="21">
        <f t="shared" si="6"/>
        <v>-30.41268656</v>
      </c>
      <c r="G8" s="21">
        <f t="shared" si="7"/>
        <v>-851.5552237</v>
      </c>
      <c r="H8" s="17">
        <f t="shared" ref="H8:I8" si="17">C8-F8*$D$2/SQRT(J7)</f>
        <v>3.249938733</v>
      </c>
      <c r="I8" s="17">
        <f t="shared" si="17"/>
        <v>2.427244473</v>
      </c>
      <c r="J8" s="14">
        <f t="shared" ref="J8:K8" si="18">J7*$J$1+$K$1*F8^2</f>
        <v>998.0622482</v>
      </c>
      <c r="K8" s="14">
        <f t="shared" si="18"/>
        <v>1351980.855</v>
      </c>
    </row>
    <row r="9">
      <c r="A9" s="14">
        <v>29.0</v>
      </c>
      <c r="B9" s="14">
        <v>88.0</v>
      </c>
      <c r="C9" s="20">
        <f t="shared" ref="C9:D9" si="19">H8</f>
        <v>3.249938733</v>
      </c>
      <c r="D9" s="20">
        <f t="shared" si="19"/>
        <v>2.427244473</v>
      </c>
      <c r="E9" s="20">
        <f t="shared" si="5"/>
        <v>73.64002846</v>
      </c>
      <c r="F9" s="21">
        <f t="shared" si="6"/>
        <v>-28.71994309</v>
      </c>
      <c r="G9" s="21">
        <f t="shared" si="7"/>
        <v>-832.8783496</v>
      </c>
      <c r="H9" s="17">
        <f t="shared" ref="H9:I9" si="20">C9-F9*$D$2/SQRT(J8)</f>
        <v>3.268120444</v>
      </c>
      <c r="I9" s="17">
        <f t="shared" si="20"/>
        <v>2.441570518</v>
      </c>
      <c r="J9" s="14">
        <f t="shared" ref="J9:K9" si="21">J8*$J$1+$K$1*F9^2</f>
        <v>980.7395365</v>
      </c>
      <c r="K9" s="14">
        <f t="shared" si="21"/>
        <v>1286151.404</v>
      </c>
    </row>
    <row r="10">
      <c r="A10" s="14">
        <v>72.0</v>
      </c>
      <c r="B10" s="14">
        <v>174.0</v>
      </c>
      <c r="C10" s="20">
        <f t="shared" ref="C10:D10" si="22">H9</f>
        <v>3.268120444</v>
      </c>
      <c r="D10" s="20">
        <f t="shared" si="22"/>
        <v>2.441570518</v>
      </c>
      <c r="E10" s="20">
        <f t="shared" si="5"/>
        <v>179.0611977</v>
      </c>
      <c r="F10" s="21">
        <f t="shared" si="6"/>
        <v>10.12239545</v>
      </c>
      <c r="G10" s="21">
        <f t="shared" si="7"/>
        <v>728.8124722</v>
      </c>
      <c r="H10" s="17">
        <f t="shared" ref="H10:I10" si="23">C10-F10*$D$2/SQRT(J9)</f>
        <v>3.261655921</v>
      </c>
      <c r="I10" s="17">
        <f t="shared" si="23"/>
        <v>2.428717659</v>
      </c>
      <c r="J10" s="14">
        <f t="shared" ref="J10:K10" si="24">J9*$J$1+$K$1*F10^2</f>
        <v>892.9118718</v>
      </c>
      <c r="K10" s="14">
        <f t="shared" si="24"/>
        <v>1210653.026</v>
      </c>
    </row>
    <row r="11">
      <c r="A11" s="14">
        <v>62.0</v>
      </c>
      <c r="B11" s="14">
        <v>154.0</v>
      </c>
      <c r="C11" s="20">
        <f t="shared" ref="C11:D11" si="25">H10</f>
        <v>3.261655921</v>
      </c>
      <c r="D11" s="20">
        <f t="shared" si="25"/>
        <v>2.428717659</v>
      </c>
      <c r="E11" s="20">
        <f t="shared" si="5"/>
        <v>153.8421508</v>
      </c>
      <c r="F11" s="21">
        <f t="shared" si="6"/>
        <v>-0.3156984708</v>
      </c>
      <c r="G11" s="21">
        <f t="shared" si="7"/>
        <v>-19.57330519</v>
      </c>
      <c r="H11" s="17">
        <f t="shared" ref="H11:I11" si="26">C11-F11*$D$2/SQRT(J10)</f>
        <v>3.261867221</v>
      </c>
      <c r="I11" s="17">
        <f t="shared" si="26"/>
        <v>2.429073441</v>
      </c>
      <c r="J11" s="14">
        <f t="shared" ref="J11:K11" si="27">J10*$J$1+$K$1*F11^2</f>
        <v>803.6306511</v>
      </c>
      <c r="K11" s="14">
        <f t="shared" si="27"/>
        <v>1089626.035</v>
      </c>
    </row>
    <row r="12">
      <c r="A12" s="14">
        <v>84.0</v>
      </c>
      <c r="B12" s="14">
        <v>198.0</v>
      </c>
      <c r="C12" s="20">
        <f t="shared" ref="C12:D12" si="28">H11</f>
        <v>3.261867221</v>
      </c>
      <c r="D12" s="20">
        <f t="shared" si="28"/>
        <v>2.429073441</v>
      </c>
      <c r="E12" s="20">
        <f t="shared" si="5"/>
        <v>207.3040363</v>
      </c>
      <c r="F12" s="21">
        <f t="shared" si="6"/>
        <v>18.60807254</v>
      </c>
      <c r="G12" s="21">
        <f t="shared" si="7"/>
        <v>1563.078093</v>
      </c>
      <c r="H12" s="17">
        <f t="shared" ref="H12:I12" si="29">C12-F12*$D$2/SQRT(J11)</f>
        <v>3.248739082</v>
      </c>
      <c r="I12" s="17">
        <f t="shared" si="29"/>
        <v>2.399125157</v>
      </c>
      <c r="J12" s="14">
        <f t="shared" ref="J12:K12" si="30">J11*$J$1+$K$1*F12^2</f>
        <v>757.8936224</v>
      </c>
      <c r="K12" s="14">
        <f t="shared" si="30"/>
        <v>1224984.744</v>
      </c>
    </row>
    <row r="13">
      <c r="A13" s="14">
        <v>15.0</v>
      </c>
      <c r="B13" s="14">
        <v>60.0</v>
      </c>
      <c r="C13" s="20">
        <f t="shared" ref="C13:D13" si="31">H12</f>
        <v>3.248739082</v>
      </c>
      <c r="D13" s="20">
        <f t="shared" si="31"/>
        <v>2.399125157</v>
      </c>
      <c r="E13" s="20">
        <f t="shared" si="5"/>
        <v>39.23561644</v>
      </c>
      <c r="F13" s="21">
        <f t="shared" si="6"/>
        <v>-41.52876711</v>
      </c>
      <c r="G13" s="21">
        <f t="shared" si="7"/>
        <v>-622.9315067</v>
      </c>
      <c r="H13" s="17">
        <f t="shared" ref="H13:I13" si="32">C13-F13*$D$2/SQRT(J12)</f>
        <v>3.278909054</v>
      </c>
      <c r="I13" s="17">
        <f t="shared" si="32"/>
        <v>2.410381698</v>
      </c>
      <c r="J13" s="14">
        <f t="shared" ref="J13:K13" si="33">J12*$J$1+$K$1*F13^2</f>
        <v>854.5681099</v>
      </c>
      <c r="K13" s="14">
        <f t="shared" si="33"/>
        <v>1141290.635</v>
      </c>
    </row>
    <row r="14">
      <c r="A14" s="14">
        <v>42.0</v>
      </c>
      <c r="B14" s="14">
        <v>114.0</v>
      </c>
      <c r="C14" s="20">
        <f t="shared" ref="C14:D14" si="34">H13</f>
        <v>3.278909054</v>
      </c>
      <c r="D14" s="20">
        <f t="shared" si="34"/>
        <v>2.410381698</v>
      </c>
      <c r="E14" s="20">
        <f t="shared" si="5"/>
        <v>104.5149404</v>
      </c>
      <c r="F14" s="21">
        <f t="shared" si="6"/>
        <v>-18.97011923</v>
      </c>
      <c r="G14" s="21">
        <f t="shared" si="7"/>
        <v>-796.7450076</v>
      </c>
      <c r="H14" s="17">
        <f t="shared" ref="H14:I14" si="35">C14-F14*$D$2/SQRT(J13)</f>
        <v>3.291887621</v>
      </c>
      <c r="I14" s="17">
        <f t="shared" si="35"/>
        <v>2.425297659</v>
      </c>
      <c r="J14" s="14">
        <f t="shared" ref="J14:K14" si="36">J13*$J$1+$K$1*F14^2</f>
        <v>805.0978413</v>
      </c>
      <c r="K14" s="14">
        <f t="shared" si="36"/>
        <v>1090641.833</v>
      </c>
    </row>
    <row r="15">
      <c r="A15" s="14">
        <v>62.0</v>
      </c>
      <c r="B15" s="14">
        <v>154.0</v>
      </c>
      <c r="C15" s="20">
        <f t="shared" ref="C15:D15" si="37">H14</f>
        <v>3.291887621</v>
      </c>
      <c r="D15" s="20">
        <f t="shared" si="37"/>
        <v>2.425297659</v>
      </c>
      <c r="E15" s="20">
        <f t="shared" si="5"/>
        <v>153.6603425</v>
      </c>
      <c r="F15" s="21">
        <f t="shared" si="6"/>
        <v>-0.6793150795</v>
      </c>
      <c r="G15" s="21">
        <f t="shared" si="7"/>
        <v>-42.11753493</v>
      </c>
      <c r="H15" s="17">
        <f t="shared" ref="H15:I15" si="38">C15-F15*$D$2/SQRT(J14)</f>
        <v>3.292366446</v>
      </c>
      <c r="I15" s="17">
        <f t="shared" si="38"/>
        <v>2.426104247</v>
      </c>
      <c r="J15" s="14">
        <f t="shared" ref="J15:K15" si="39">J14*$J$1+$K$1*F15^2</f>
        <v>724.634204</v>
      </c>
      <c r="K15" s="14">
        <f t="shared" si="39"/>
        <v>981755.038</v>
      </c>
    </row>
    <row r="16">
      <c r="A16" s="14">
        <v>47.0</v>
      </c>
      <c r="B16" s="14">
        <v>124.0</v>
      </c>
      <c r="C16" s="20">
        <f t="shared" ref="C16:D16" si="40">H15</f>
        <v>3.292366446</v>
      </c>
      <c r="D16" s="20">
        <f t="shared" si="40"/>
        <v>2.426104247</v>
      </c>
      <c r="E16" s="20">
        <f t="shared" si="5"/>
        <v>117.3192661</v>
      </c>
      <c r="F16" s="21">
        <f t="shared" si="6"/>
        <v>-13.3614679</v>
      </c>
      <c r="G16" s="21">
        <f t="shared" si="7"/>
        <v>-627.9889913</v>
      </c>
      <c r="H16" s="17">
        <f t="shared" ref="H16:I16" si="41">C16-F16*$D$2/SQRT(J15)</f>
        <v>3.3022936</v>
      </c>
      <c r="I16" s="17">
        <f t="shared" si="41"/>
        <v>2.438780195</v>
      </c>
      <c r="J16" s="14">
        <f t="shared" ref="J16:K16" si="42">J15*$J$1+$K$1*F16^2</f>
        <v>670.0236661</v>
      </c>
      <c r="K16" s="14">
        <f t="shared" si="42"/>
        <v>923016.5515</v>
      </c>
    </row>
    <row r="17">
      <c r="A17" s="14">
        <v>35.0</v>
      </c>
      <c r="B17" s="14">
        <v>100.0</v>
      </c>
      <c r="C17" s="20">
        <f t="shared" ref="C17:D17" si="43">H16</f>
        <v>3.3022936</v>
      </c>
      <c r="D17" s="20">
        <f t="shared" si="43"/>
        <v>2.438780195</v>
      </c>
      <c r="E17" s="20">
        <f t="shared" si="5"/>
        <v>88.65960043</v>
      </c>
      <c r="F17" s="21">
        <f t="shared" si="6"/>
        <v>-22.68079914</v>
      </c>
      <c r="G17" s="21">
        <f t="shared" si="7"/>
        <v>-793.8279699</v>
      </c>
      <c r="H17" s="17">
        <f t="shared" ref="H17:I17" si="44">C17-F17*$D$2/SQRT(J16)</f>
        <v>3.319818004</v>
      </c>
      <c r="I17" s="17">
        <f t="shared" si="44"/>
        <v>2.455305582</v>
      </c>
      <c r="J17" s="14">
        <f t="shared" ref="J17:K17" si="45">J16*$J$1+$K$1*F17^2</f>
        <v>654.4631644</v>
      </c>
      <c r="K17" s="14">
        <f t="shared" si="45"/>
        <v>893731.181</v>
      </c>
    </row>
    <row r="18">
      <c r="A18" s="14">
        <v>9.0</v>
      </c>
      <c r="B18" s="14">
        <v>48.0</v>
      </c>
      <c r="C18" s="20">
        <f t="shared" ref="C18:D18" si="46">H17</f>
        <v>3.319818004</v>
      </c>
      <c r="D18" s="20">
        <f t="shared" si="46"/>
        <v>2.455305582</v>
      </c>
      <c r="E18" s="20">
        <f t="shared" si="5"/>
        <v>25.41756825</v>
      </c>
      <c r="F18" s="21">
        <f t="shared" si="6"/>
        <v>-45.16486351</v>
      </c>
      <c r="G18" s="21">
        <f t="shared" si="7"/>
        <v>-406.4837716</v>
      </c>
      <c r="H18" s="17">
        <f t="shared" ref="H18:I18" si="47">C18-F18*$D$2/SQRT(J17)</f>
        <v>3.355127222</v>
      </c>
      <c r="I18" s="17">
        <f t="shared" si="47"/>
        <v>2.463905014</v>
      </c>
      <c r="J18" s="14">
        <f t="shared" ref="J18:K18" si="48">J17*$J$1+$K$1*F18^2</f>
        <v>793.0033376</v>
      </c>
      <c r="K18" s="14">
        <f t="shared" si="48"/>
        <v>820880.9685</v>
      </c>
    </row>
    <row r="19">
      <c r="A19" s="14">
        <v>38.0</v>
      </c>
      <c r="B19" s="14">
        <v>106.0</v>
      </c>
      <c r="C19" s="20">
        <f t="shared" ref="C19:D19" si="49">H18</f>
        <v>3.355127222</v>
      </c>
      <c r="D19" s="20">
        <f t="shared" si="49"/>
        <v>2.463905014</v>
      </c>
      <c r="E19" s="20">
        <f t="shared" si="5"/>
        <v>96.98351776</v>
      </c>
      <c r="F19" s="21">
        <f t="shared" si="6"/>
        <v>-18.03296448</v>
      </c>
      <c r="G19" s="21">
        <f t="shared" si="7"/>
        <v>-685.2526501</v>
      </c>
      <c r="H19" s="17">
        <f t="shared" ref="H19:I19" si="50">C19-F19*$D$2/SQRT(J18)</f>
        <v>3.367934582</v>
      </c>
      <c r="I19" s="17">
        <f t="shared" si="50"/>
        <v>2.47903159</v>
      </c>
      <c r="J19" s="14">
        <f t="shared" ref="J19:K19" si="51">J18*$J$1+$K$1*F19^2</f>
        <v>746.2217846</v>
      </c>
      <c r="K19" s="14">
        <f t="shared" si="51"/>
        <v>785749.9911</v>
      </c>
    </row>
    <row r="20">
      <c r="A20" s="14">
        <v>44.0</v>
      </c>
      <c r="B20" s="14">
        <v>118.0</v>
      </c>
      <c r="C20" s="20">
        <f t="shared" ref="C20:D20" si="52">H19</f>
        <v>3.367934582</v>
      </c>
      <c r="D20" s="20">
        <f t="shared" si="52"/>
        <v>2.47903159</v>
      </c>
      <c r="E20" s="20">
        <f t="shared" si="5"/>
        <v>112.4453245</v>
      </c>
      <c r="F20" s="21">
        <f t="shared" si="6"/>
        <v>-11.10935092</v>
      </c>
      <c r="G20" s="21">
        <f t="shared" si="7"/>
        <v>-488.8114406</v>
      </c>
      <c r="H20" s="17">
        <f t="shared" ref="H20:I20" si="53">C20-F20*$D$2/SQRT(J19)</f>
        <v>3.376068218</v>
      </c>
      <c r="I20" s="17">
        <f t="shared" si="53"/>
        <v>2.490060413</v>
      </c>
      <c r="J20" s="14">
        <f t="shared" ref="J20:K20" si="54">J19*$J$1+$K$1*F20^2</f>
        <v>683.9413739</v>
      </c>
      <c r="K20" s="14">
        <f t="shared" si="54"/>
        <v>731068.6545</v>
      </c>
    </row>
    <row r="21" ht="15.75" customHeight="1">
      <c r="A21" s="14">
        <v>99.0</v>
      </c>
      <c r="B21" s="14">
        <v>228.0</v>
      </c>
      <c r="C21" s="20">
        <f t="shared" ref="C21:D21" si="55">H20</f>
        <v>3.376068218</v>
      </c>
      <c r="D21" s="20">
        <f t="shared" si="55"/>
        <v>2.490060413</v>
      </c>
      <c r="E21" s="20">
        <f t="shared" si="5"/>
        <v>249.8920491</v>
      </c>
      <c r="F21" s="21">
        <f t="shared" si="6"/>
        <v>43.78409819</v>
      </c>
      <c r="G21" s="21">
        <f t="shared" si="7"/>
        <v>4334.625721</v>
      </c>
      <c r="H21" s="17">
        <f t="shared" ref="H21:I21" si="56">C21-F21*$D$2/SQRT(J20)</f>
        <v>3.342584246</v>
      </c>
      <c r="I21" s="17">
        <f t="shared" si="56"/>
        <v>2.388668687</v>
      </c>
      <c r="J21" s="14">
        <f t="shared" ref="J21:K21" si="57">J20*$J$1+$K$1*F21^2</f>
        <v>807.2519619</v>
      </c>
      <c r="K21" s="14">
        <f t="shared" si="57"/>
        <v>2536859.803</v>
      </c>
    </row>
    <row r="22" ht="15.75" customHeight="1">
      <c r="A22" s="14">
        <v>13.0</v>
      </c>
      <c r="B22" s="14">
        <v>56.0</v>
      </c>
      <c r="C22" s="20">
        <f t="shared" ref="C22:D22" si="58">H21</f>
        <v>3.342584246</v>
      </c>
      <c r="D22" s="20">
        <f t="shared" si="58"/>
        <v>2.388668687</v>
      </c>
      <c r="E22" s="20">
        <f t="shared" si="5"/>
        <v>34.39527717</v>
      </c>
      <c r="F22" s="21">
        <f t="shared" si="6"/>
        <v>-43.20944566</v>
      </c>
      <c r="G22" s="21">
        <f t="shared" si="7"/>
        <v>-561.7227936</v>
      </c>
      <c r="H22" s="17">
        <f t="shared" ref="H22:I22" si="59">C22-F22*$D$2/SQRT(J21)</f>
        <v>3.373000389</v>
      </c>
      <c r="I22" s="17">
        <f t="shared" si="59"/>
        <v>2.395722173</v>
      </c>
      <c r="J22" s="14">
        <f t="shared" ref="J22:K22" si="60">J21*$J$1+$K$1*F22^2</f>
        <v>913.2323851</v>
      </c>
      <c r="K22" s="14">
        <f t="shared" si="60"/>
        <v>2314727.072</v>
      </c>
    </row>
    <row r="23" ht="15.75" customHeight="1">
      <c r="A23" s="14">
        <v>21.0</v>
      </c>
      <c r="B23" s="14">
        <v>72.0</v>
      </c>
      <c r="C23" s="20">
        <f t="shared" ref="C23:D23" si="61">H22</f>
        <v>3.373000389</v>
      </c>
      <c r="D23" s="20">
        <f t="shared" si="61"/>
        <v>2.395722173</v>
      </c>
      <c r="E23" s="20">
        <f t="shared" si="5"/>
        <v>53.68316601</v>
      </c>
      <c r="F23" s="21">
        <f t="shared" si="6"/>
        <v>-36.63366798</v>
      </c>
      <c r="G23" s="21">
        <f t="shared" si="7"/>
        <v>-769.3070275</v>
      </c>
      <c r="H23" s="17">
        <f t="shared" ref="H23:I23" si="62">C23-F23*$D$2/SQRT(J22)</f>
        <v>3.397245252</v>
      </c>
      <c r="I23" s="17">
        <f t="shared" si="62"/>
        <v>2.405835168</v>
      </c>
      <c r="J23" s="14">
        <f t="shared" ref="J23:K23" si="63">J22*$J$1+$K$1*F23^2</f>
        <v>956.1117096</v>
      </c>
      <c r="K23" s="14">
        <f t="shared" si="63"/>
        <v>2142437.695</v>
      </c>
    </row>
    <row r="24" ht="15.75" customHeight="1">
      <c r="A24" s="14">
        <v>28.0</v>
      </c>
      <c r="B24" s="14">
        <v>86.0</v>
      </c>
      <c r="C24" s="20">
        <f t="shared" ref="C24:D24" si="64">H23</f>
        <v>3.397245252</v>
      </c>
      <c r="D24" s="20">
        <f t="shared" si="64"/>
        <v>2.405835168</v>
      </c>
      <c r="E24" s="20">
        <f t="shared" si="5"/>
        <v>70.76062995</v>
      </c>
      <c r="F24" s="21">
        <f t="shared" si="6"/>
        <v>-30.4787401</v>
      </c>
      <c r="G24" s="21">
        <f t="shared" si="7"/>
        <v>-853.4047229</v>
      </c>
      <c r="H24" s="17">
        <f t="shared" ref="H24:I24" si="65">C24-F24*$D$2/SQRT(J23)</f>
        <v>3.416959159</v>
      </c>
      <c r="I24" s="17">
        <f t="shared" si="65"/>
        <v>2.417496037</v>
      </c>
      <c r="J24" s="14">
        <f t="shared" ref="J24:K24" si="66">J23*$J$1+$K$1*F24^2</f>
        <v>953.3958984</v>
      </c>
      <c r="K24" s="14">
        <f t="shared" si="66"/>
        <v>2001023.888</v>
      </c>
    </row>
    <row r="25" ht="15.75" customHeight="1">
      <c r="A25" s="14">
        <v>20.0</v>
      </c>
      <c r="B25" s="14">
        <v>70.0</v>
      </c>
      <c r="C25" s="20">
        <f t="shared" ref="C25:D25" si="67">H24</f>
        <v>3.416959159</v>
      </c>
      <c r="D25" s="20">
        <f t="shared" si="67"/>
        <v>2.417496037</v>
      </c>
      <c r="E25" s="20">
        <f t="shared" si="5"/>
        <v>51.7668799</v>
      </c>
      <c r="F25" s="21">
        <f t="shared" si="6"/>
        <v>-36.46624019</v>
      </c>
      <c r="G25" s="21">
        <f t="shared" si="7"/>
        <v>-729.3248038</v>
      </c>
      <c r="H25" s="17">
        <f t="shared" ref="H25:I25" si="68">C25-F25*$D$2/SQRT(J24)</f>
        <v>3.440579401</v>
      </c>
      <c r="I25" s="17">
        <f t="shared" si="68"/>
        <v>2.427807608</v>
      </c>
      <c r="J25" s="14">
        <f t="shared" ref="J25:K25" si="69">J24*$J$1+$K$1*F25^2</f>
        <v>991.034976</v>
      </c>
      <c r="K25" s="14">
        <f t="shared" si="69"/>
        <v>1854112.966</v>
      </c>
    </row>
    <row r="26" ht="15.75" customHeight="1">
      <c r="A26" s="14">
        <v>8.0</v>
      </c>
      <c r="B26" s="14">
        <v>46.0</v>
      </c>
      <c r="C26" s="20">
        <f t="shared" ref="C26:D26" si="70">H25</f>
        <v>3.440579401</v>
      </c>
      <c r="D26" s="20">
        <f t="shared" si="70"/>
        <v>2.427807608</v>
      </c>
      <c r="E26" s="20">
        <f t="shared" si="5"/>
        <v>22.86304027</v>
      </c>
      <c r="F26" s="21">
        <f t="shared" si="6"/>
        <v>-46.27391946</v>
      </c>
      <c r="G26" s="21">
        <f t="shared" si="7"/>
        <v>-370.1913557</v>
      </c>
      <c r="H26" s="17">
        <f t="shared" ref="H26:I26" si="71">C26-F26*$D$2/SQRT(J25)</f>
        <v>3.469977672</v>
      </c>
      <c r="I26" s="17">
        <f t="shared" si="71"/>
        <v>2.43324497</v>
      </c>
      <c r="J26" s="14">
        <f t="shared" ref="J26:K26" si="72">J25*$J$1+$K$1*F26^2</f>
        <v>1106.059041</v>
      </c>
      <c r="K26" s="14">
        <f t="shared" si="72"/>
        <v>1682405.833</v>
      </c>
    </row>
    <row r="27" ht="15.75" customHeight="1">
      <c r="A27" s="14">
        <v>64.0</v>
      </c>
      <c r="B27" s="14">
        <v>158.0</v>
      </c>
      <c r="C27" s="20">
        <f t="shared" ref="C27:D27" si="73">H26</f>
        <v>3.469977672</v>
      </c>
      <c r="D27" s="20">
        <f t="shared" si="73"/>
        <v>2.43324497</v>
      </c>
      <c r="E27" s="20">
        <f t="shared" si="5"/>
        <v>159.1976557</v>
      </c>
      <c r="F27" s="21">
        <f t="shared" si="6"/>
        <v>2.39531144</v>
      </c>
      <c r="G27" s="21">
        <f t="shared" si="7"/>
        <v>153.2999322</v>
      </c>
      <c r="H27" s="17">
        <f t="shared" ref="H27:I27" si="74">C27-F27*$D$2/SQRT(J26)</f>
        <v>3.468537206</v>
      </c>
      <c r="I27" s="17">
        <f t="shared" si="74"/>
        <v>2.430881192</v>
      </c>
      <c r="J27" s="14">
        <f t="shared" ref="J27:K27" si="75">J26*$J$1+$K$1*F27^2</f>
        <v>996.0268883</v>
      </c>
      <c r="K27" s="14">
        <f t="shared" si="75"/>
        <v>1516515.337</v>
      </c>
    </row>
    <row r="28" ht="15.75" customHeight="1">
      <c r="A28" s="14">
        <v>99.0</v>
      </c>
      <c r="B28" s="14">
        <v>228.0</v>
      </c>
      <c r="C28" s="20">
        <f t="shared" ref="C28:D28" si="76">H27</f>
        <v>3.468537206</v>
      </c>
      <c r="D28" s="20">
        <f t="shared" si="76"/>
        <v>2.430881192</v>
      </c>
      <c r="E28" s="20">
        <f t="shared" si="5"/>
        <v>244.1257752</v>
      </c>
      <c r="F28" s="21">
        <f t="shared" si="6"/>
        <v>32.25155045</v>
      </c>
      <c r="G28" s="21">
        <f t="shared" si="7"/>
        <v>3192.903495</v>
      </c>
      <c r="H28" s="17">
        <f t="shared" ref="H28:I28" si="77">C28-F28*$D$2/SQRT(J27)</f>
        <v>3.448098893</v>
      </c>
      <c r="I28" s="17">
        <f t="shared" si="77"/>
        <v>2.379025984</v>
      </c>
      <c r="J28" s="14">
        <f t="shared" ref="J28:K28" si="78">J27*$J$1+$K$1*F28^2</f>
        <v>1000.44045</v>
      </c>
      <c r="K28" s="14">
        <f t="shared" si="78"/>
        <v>2384327.076</v>
      </c>
    </row>
    <row r="29" ht="15.75" customHeight="1">
      <c r="A29" s="14">
        <v>70.0</v>
      </c>
      <c r="B29" s="14">
        <v>170.0</v>
      </c>
      <c r="C29" s="20">
        <f t="shared" ref="C29:D29" si="79">H28</f>
        <v>3.448098893</v>
      </c>
      <c r="D29" s="20">
        <f t="shared" si="79"/>
        <v>2.379025984</v>
      </c>
      <c r="E29" s="20">
        <f t="shared" si="5"/>
        <v>169.9799177</v>
      </c>
      <c r="F29" s="21">
        <f t="shared" si="6"/>
        <v>-0.04016450381</v>
      </c>
      <c r="G29" s="21">
        <f t="shared" si="7"/>
        <v>-2.811515267</v>
      </c>
      <c r="H29" s="17">
        <f t="shared" ref="H29:I29" si="80">C29-F29*$D$2/SQRT(J28)</f>
        <v>3.448124289</v>
      </c>
      <c r="I29" s="17">
        <f t="shared" si="80"/>
        <v>2.379062399</v>
      </c>
      <c r="J29" s="14">
        <f t="shared" ref="J29:K29" si="81">J28*$J$1+$K$1*F29^2</f>
        <v>900.3965664</v>
      </c>
      <c r="K29" s="14">
        <f t="shared" si="81"/>
        <v>2145895.159</v>
      </c>
    </row>
    <row r="30" ht="15.75" customHeight="1">
      <c r="A30" s="14">
        <v>27.0</v>
      </c>
      <c r="B30" s="14">
        <v>84.0</v>
      </c>
      <c r="C30" s="20">
        <f t="shared" ref="C30:D30" si="82">H29</f>
        <v>3.448124289</v>
      </c>
      <c r="D30" s="20">
        <f t="shared" si="82"/>
        <v>2.379062399</v>
      </c>
      <c r="E30" s="20">
        <f t="shared" si="5"/>
        <v>67.68280907</v>
      </c>
      <c r="F30" s="21">
        <f t="shared" si="6"/>
        <v>-32.63438186</v>
      </c>
      <c r="G30" s="21">
        <f t="shared" si="7"/>
        <v>-881.1283103</v>
      </c>
      <c r="H30" s="17">
        <f t="shared" ref="H30:I30" si="83">C30-F30*$D$2/SQRT(J29)</f>
        <v>3.469875752</v>
      </c>
      <c r="I30" s="17">
        <f t="shared" si="83"/>
        <v>2.391092379</v>
      </c>
      <c r="J30" s="14">
        <f t="shared" ref="J30:K30" si="84">J29*$J$1+$K$1*F30^2</f>
        <v>916.8571977</v>
      </c>
      <c r="K30" s="14">
        <f t="shared" si="84"/>
        <v>2008944.353</v>
      </c>
    </row>
    <row r="31" ht="15.75" customHeight="1">
      <c r="A31" s="14">
        <v>17.0</v>
      </c>
      <c r="B31" s="14">
        <v>64.0</v>
      </c>
      <c r="C31" s="20">
        <f t="shared" ref="C31:D31" si="85">H30</f>
        <v>3.469875752</v>
      </c>
      <c r="D31" s="20">
        <f t="shared" si="85"/>
        <v>2.391092379</v>
      </c>
      <c r="E31" s="20">
        <f t="shared" si="5"/>
        <v>44.1184462</v>
      </c>
      <c r="F31" s="21">
        <f t="shared" si="6"/>
        <v>-39.76310761</v>
      </c>
      <c r="G31" s="21">
        <f t="shared" si="7"/>
        <v>-675.9728293</v>
      </c>
      <c r="H31" s="17">
        <f t="shared" ref="H31:I31" si="86">C31-F31*$D$2/SQRT(J30)</f>
        <v>3.496139667</v>
      </c>
      <c r="I31" s="17">
        <f t="shared" si="86"/>
        <v>2.400630774</v>
      </c>
      <c r="J31" s="14">
        <f t="shared" ref="J31:K31" si="87">J30*$J$1+$K$1*F31^2</f>
        <v>983.2819506</v>
      </c>
      <c r="K31" s="14">
        <f t="shared" si="87"/>
        <v>1853743.844</v>
      </c>
    </row>
    <row r="32" ht="15.75" customHeight="1">
      <c r="A32" s="14">
        <v>8.0</v>
      </c>
      <c r="B32" s="14">
        <v>46.0</v>
      </c>
      <c r="C32" s="20">
        <f t="shared" ref="C32:D32" si="88">H31</f>
        <v>3.496139667</v>
      </c>
      <c r="D32" s="20">
        <f t="shared" si="88"/>
        <v>2.400630774</v>
      </c>
      <c r="E32" s="20">
        <f t="shared" si="5"/>
        <v>22.70118586</v>
      </c>
      <c r="F32" s="21">
        <f t="shared" si="6"/>
        <v>-46.59762829</v>
      </c>
      <c r="G32" s="21">
        <f t="shared" si="7"/>
        <v>-372.7810263</v>
      </c>
      <c r="H32" s="17">
        <f t="shared" ref="H32:I32" si="89">C32-F32*$D$2/SQRT(J31)</f>
        <v>3.525860076</v>
      </c>
      <c r="I32" s="17">
        <f t="shared" si="89"/>
        <v>2.406106717</v>
      </c>
      <c r="J32" s="14">
        <f t="shared" ref="J32:K32" si="90">J31*$J$1+$K$1*F32^2</f>
        <v>1102.087652</v>
      </c>
      <c r="K32" s="14">
        <f t="shared" si="90"/>
        <v>1682266.029</v>
      </c>
    </row>
    <row r="33" ht="15.75" customHeight="1">
      <c r="A33" s="21"/>
      <c r="B33" s="21"/>
      <c r="C33" s="20"/>
      <c r="D33" s="20"/>
      <c r="E33" s="20"/>
      <c r="F33" s="21"/>
      <c r="G33" s="21"/>
      <c r="H33" s="17"/>
      <c r="J33" s="21">
        <v>1134.4241521916742</v>
      </c>
      <c r="K33" s="14">
        <v>1679911.3688917186</v>
      </c>
    </row>
    <row r="34" ht="15.75" customHeight="1">
      <c r="C34" s="20"/>
      <c r="D34" s="20"/>
      <c r="E34" s="20"/>
      <c r="F34" s="21"/>
      <c r="G34" s="21"/>
    </row>
    <row r="35" ht="15.75" customHeight="1">
      <c r="C35" s="20"/>
      <c r="D35" s="20"/>
      <c r="E35" s="20"/>
      <c r="F35" s="21"/>
      <c r="G35" s="21"/>
    </row>
    <row r="36" ht="15.75" customHeight="1">
      <c r="C36" s="20"/>
      <c r="D36" s="20"/>
      <c r="E36" s="20"/>
      <c r="F36" s="21"/>
      <c r="G36" s="21"/>
    </row>
    <row r="37" ht="15.75" customHeight="1">
      <c r="C37" s="20"/>
      <c r="D37" s="20"/>
      <c r="E37" s="20"/>
      <c r="F37" s="21"/>
      <c r="G37" s="21"/>
    </row>
    <row r="38" ht="15.75" customHeight="1">
      <c r="C38" s="20"/>
      <c r="D38" s="20"/>
      <c r="E38" s="20"/>
      <c r="F38" s="21"/>
      <c r="G38" s="21"/>
    </row>
    <row r="39" ht="15.75" customHeight="1">
      <c r="C39" s="20"/>
      <c r="D39" s="20"/>
      <c r="E39" s="20"/>
      <c r="F39" s="21"/>
      <c r="G39" s="21"/>
    </row>
    <row r="40" ht="15.75" customHeight="1">
      <c r="C40" s="20"/>
      <c r="D40" s="20"/>
      <c r="E40" s="20"/>
      <c r="F40" s="21"/>
      <c r="G40" s="21"/>
    </row>
    <row r="41" ht="15.75" customHeight="1">
      <c r="C41" s="20"/>
      <c r="D41" s="20"/>
      <c r="E41" s="20"/>
      <c r="F41" s="21"/>
      <c r="G41" s="21"/>
    </row>
    <row r="42" ht="15.75" customHeight="1">
      <c r="C42" s="20"/>
      <c r="D42" s="20"/>
      <c r="E42" s="20"/>
      <c r="F42" s="21"/>
      <c r="G42" s="21"/>
    </row>
    <row r="43" ht="15.75" customHeight="1">
      <c r="C43" s="20"/>
      <c r="D43" s="20"/>
      <c r="E43" s="20"/>
      <c r="F43" s="21"/>
      <c r="G43" s="21"/>
    </row>
    <row r="44" ht="15.75" customHeight="1">
      <c r="C44" s="20"/>
      <c r="D44" s="20"/>
      <c r="E44" s="20"/>
      <c r="F44" s="21"/>
      <c r="G44" s="21"/>
    </row>
    <row r="45" ht="15.75" customHeight="1">
      <c r="C45" s="20"/>
      <c r="D45" s="20"/>
      <c r="E45" s="20"/>
      <c r="F45" s="21"/>
      <c r="G45" s="21"/>
    </row>
    <row r="46" ht="15.75" customHeight="1">
      <c r="C46" s="20"/>
      <c r="D46" s="20"/>
      <c r="E46" s="20"/>
      <c r="F46" s="21"/>
      <c r="G46" s="21"/>
    </row>
    <row r="47" ht="15.75" customHeight="1">
      <c r="C47" s="20"/>
      <c r="D47" s="20"/>
      <c r="E47" s="20"/>
      <c r="F47" s="21"/>
      <c r="G47" s="21"/>
    </row>
    <row r="48" ht="15.75" customHeight="1">
      <c r="C48" s="20"/>
      <c r="D48" s="20"/>
      <c r="E48" s="20"/>
      <c r="F48" s="21"/>
      <c r="G48" s="21"/>
    </row>
    <row r="49" ht="15.75" customHeight="1">
      <c r="C49" s="20"/>
      <c r="D49" s="20"/>
      <c r="E49" s="20"/>
      <c r="F49" s="21"/>
      <c r="G49" s="21"/>
    </row>
    <row r="50" ht="15.75" customHeight="1">
      <c r="C50" s="20"/>
      <c r="D50" s="20"/>
      <c r="E50" s="20"/>
      <c r="F50" s="21"/>
      <c r="G50" s="21"/>
    </row>
    <row r="51" ht="15.75" customHeight="1">
      <c r="C51" s="20"/>
      <c r="D51" s="20"/>
      <c r="E51" s="20"/>
      <c r="F51" s="21"/>
      <c r="G51" s="21"/>
    </row>
    <row r="52" ht="15.75" customHeight="1">
      <c r="C52" s="20"/>
      <c r="D52" s="20"/>
      <c r="E52" s="20"/>
      <c r="F52" s="21"/>
      <c r="G52" s="21"/>
    </row>
    <row r="53" ht="15.75" customHeight="1">
      <c r="C53" s="20"/>
      <c r="D53" s="20"/>
      <c r="E53" s="20"/>
      <c r="F53" s="21"/>
      <c r="G53" s="21"/>
    </row>
    <row r="54" ht="15.75" customHeight="1">
      <c r="C54" s="20"/>
      <c r="D54" s="20"/>
      <c r="E54" s="20"/>
      <c r="F54" s="21"/>
      <c r="G54" s="21"/>
    </row>
    <row r="55" ht="15.75" customHeight="1">
      <c r="C55" s="20"/>
      <c r="D55" s="20"/>
      <c r="E55" s="20"/>
      <c r="F55" s="21"/>
      <c r="G55" s="21"/>
    </row>
    <row r="56" ht="15.75" customHeight="1">
      <c r="C56" s="20"/>
      <c r="D56" s="20"/>
      <c r="E56" s="20"/>
      <c r="F56" s="21"/>
      <c r="G56" s="21"/>
    </row>
    <row r="57" ht="15.75" customHeight="1">
      <c r="C57" s="20"/>
      <c r="D57" s="20"/>
      <c r="E57" s="20"/>
      <c r="F57" s="21"/>
      <c r="G57" s="21"/>
    </row>
    <row r="58" ht="15.75" customHeight="1">
      <c r="C58" s="20"/>
      <c r="D58" s="20"/>
      <c r="E58" s="20"/>
      <c r="F58" s="21"/>
      <c r="G58" s="21"/>
    </row>
    <row r="59" ht="15.75" customHeight="1">
      <c r="C59" s="20"/>
      <c r="D59" s="20"/>
      <c r="E59" s="20"/>
      <c r="F59" s="21"/>
      <c r="G59" s="21"/>
    </row>
    <row r="60" ht="15.75" customHeight="1">
      <c r="C60" s="20"/>
      <c r="D60" s="20"/>
      <c r="E60" s="20"/>
      <c r="F60" s="21"/>
      <c r="G60" s="21"/>
    </row>
    <row r="61" ht="15.75" customHeight="1">
      <c r="C61" s="20"/>
      <c r="D61" s="20"/>
      <c r="E61" s="20"/>
      <c r="F61" s="21"/>
      <c r="G61" s="21"/>
    </row>
    <row r="62" ht="15.75" customHeight="1">
      <c r="C62" s="20"/>
      <c r="D62" s="20"/>
      <c r="E62" s="20"/>
      <c r="F62" s="21"/>
      <c r="G62" s="21"/>
    </row>
    <row r="63" ht="15.75" customHeight="1">
      <c r="C63" s="20"/>
      <c r="D63" s="20"/>
      <c r="E63" s="20"/>
      <c r="F63" s="21"/>
      <c r="G63" s="21"/>
    </row>
    <row r="64" ht="15.75" customHeight="1">
      <c r="C64" s="20"/>
      <c r="D64" s="20"/>
      <c r="E64" s="20"/>
      <c r="F64" s="21"/>
      <c r="G64" s="21"/>
    </row>
    <row r="65" ht="15.75" customHeight="1">
      <c r="C65" s="20"/>
      <c r="D65" s="20"/>
      <c r="E65" s="20"/>
      <c r="F65" s="21"/>
      <c r="G65" s="21"/>
    </row>
    <row r="66" ht="15.75" customHeight="1">
      <c r="C66" s="20"/>
      <c r="D66" s="20"/>
      <c r="E66" s="20"/>
      <c r="F66" s="21"/>
      <c r="G66" s="21"/>
    </row>
    <row r="67" ht="15.75" customHeight="1">
      <c r="C67" s="20"/>
      <c r="D67" s="20"/>
      <c r="E67" s="20"/>
      <c r="F67" s="21"/>
      <c r="G67" s="21"/>
    </row>
    <row r="68" ht="15.75" customHeight="1">
      <c r="C68" s="20"/>
      <c r="D68" s="20"/>
      <c r="E68" s="20"/>
      <c r="F68" s="21"/>
      <c r="G68" s="21"/>
    </row>
    <row r="69" ht="15.75" customHeight="1">
      <c r="C69" s="20"/>
      <c r="D69" s="20"/>
      <c r="E69" s="20"/>
      <c r="F69" s="21"/>
      <c r="G69" s="21"/>
    </row>
    <row r="70" ht="15.75" customHeight="1">
      <c r="C70" s="20"/>
      <c r="D70" s="20"/>
      <c r="E70" s="20"/>
      <c r="F70" s="21"/>
      <c r="G70" s="21"/>
    </row>
    <row r="71" ht="15.75" customHeight="1">
      <c r="C71" s="20"/>
      <c r="D71" s="20"/>
      <c r="E71" s="20"/>
      <c r="F71" s="21"/>
      <c r="G71" s="21"/>
    </row>
    <row r="72" ht="15.75" customHeight="1">
      <c r="C72" s="20"/>
      <c r="D72" s="20"/>
      <c r="E72" s="20"/>
      <c r="F72" s="21"/>
      <c r="G72" s="21"/>
    </row>
    <row r="73" ht="15.75" customHeight="1">
      <c r="C73" s="20"/>
      <c r="D73" s="20"/>
      <c r="E73" s="20"/>
      <c r="F73" s="21"/>
      <c r="G73" s="21"/>
    </row>
    <row r="74" ht="15.75" customHeight="1">
      <c r="C74" s="20"/>
      <c r="D74" s="20"/>
      <c r="E74" s="20"/>
      <c r="F74" s="21"/>
      <c r="G74" s="21"/>
    </row>
    <row r="75" ht="15.75" customHeight="1">
      <c r="C75" s="20"/>
      <c r="D75" s="20"/>
      <c r="E75" s="20"/>
      <c r="F75" s="21"/>
      <c r="G75" s="21"/>
    </row>
    <row r="76" ht="15.75" customHeight="1">
      <c r="C76" s="20"/>
      <c r="D76" s="20"/>
      <c r="E76" s="20"/>
      <c r="F76" s="21"/>
      <c r="G76" s="21"/>
    </row>
    <row r="77" ht="15.75" customHeight="1">
      <c r="C77" s="20"/>
      <c r="D77" s="20"/>
      <c r="E77" s="20"/>
      <c r="F77" s="21"/>
      <c r="G77" s="21"/>
    </row>
    <row r="78" ht="15.75" customHeight="1">
      <c r="C78" s="20"/>
      <c r="D78" s="20"/>
      <c r="E78" s="20"/>
      <c r="F78" s="21"/>
      <c r="G78" s="21"/>
    </row>
    <row r="79" ht="15.75" customHeight="1">
      <c r="C79" s="20"/>
      <c r="D79" s="20"/>
      <c r="E79" s="20"/>
      <c r="F79" s="21"/>
      <c r="G79" s="21"/>
    </row>
    <row r="80" ht="15.75" customHeight="1">
      <c r="C80" s="20"/>
      <c r="D80" s="20"/>
      <c r="E80" s="20"/>
      <c r="F80" s="21"/>
      <c r="G80" s="21"/>
    </row>
    <row r="81" ht="15.75" customHeight="1">
      <c r="C81" s="20"/>
      <c r="D81" s="20"/>
      <c r="E81" s="20"/>
      <c r="F81" s="21"/>
      <c r="G81" s="21"/>
    </row>
    <row r="82" ht="15.75" customHeight="1">
      <c r="C82" s="20"/>
      <c r="D82" s="20"/>
      <c r="E82" s="20"/>
      <c r="F82" s="21"/>
      <c r="G82" s="21"/>
    </row>
    <row r="83" ht="15.75" customHeight="1">
      <c r="C83" s="20"/>
      <c r="D83" s="20"/>
      <c r="E83" s="20"/>
      <c r="F83" s="21"/>
      <c r="G83" s="21"/>
    </row>
    <row r="84" ht="15.75" customHeight="1">
      <c r="C84" s="20"/>
      <c r="D84" s="20"/>
      <c r="E84" s="20"/>
      <c r="F84" s="21"/>
      <c r="G84" s="21"/>
    </row>
    <row r="85" ht="15.75" customHeight="1">
      <c r="C85" s="20"/>
      <c r="D85" s="20"/>
      <c r="E85" s="20"/>
      <c r="F85" s="21"/>
      <c r="G85" s="21"/>
    </row>
    <row r="86" ht="15.75" customHeight="1">
      <c r="C86" s="20"/>
      <c r="D86" s="20"/>
      <c r="E86" s="20"/>
      <c r="F86" s="21"/>
      <c r="G86" s="21"/>
    </row>
    <row r="87" ht="15.75" customHeight="1">
      <c r="C87" s="20"/>
      <c r="D87" s="20"/>
      <c r="E87" s="20"/>
      <c r="F87" s="21"/>
      <c r="G87" s="21"/>
    </row>
    <row r="88" ht="15.75" customHeight="1">
      <c r="C88" s="20"/>
      <c r="D88" s="20"/>
      <c r="E88" s="20"/>
      <c r="F88" s="21"/>
      <c r="G88" s="21"/>
    </row>
    <row r="89" ht="15.75" customHeight="1">
      <c r="C89" s="20"/>
      <c r="D89" s="20"/>
      <c r="E89" s="20"/>
      <c r="F89" s="21"/>
      <c r="G89" s="21"/>
    </row>
    <row r="90" ht="15.75" customHeight="1">
      <c r="C90" s="20"/>
      <c r="D90" s="20"/>
      <c r="E90" s="20"/>
      <c r="F90" s="21"/>
      <c r="G90" s="21"/>
    </row>
    <row r="91" ht="15.75" customHeight="1">
      <c r="C91" s="20"/>
      <c r="D91" s="20"/>
      <c r="E91" s="20"/>
      <c r="F91" s="21"/>
      <c r="G91" s="21"/>
    </row>
    <row r="92" ht="15.75" customHeight="1">
      <c r="C92" s="20"/>
      <c r="D92" s="20"/>
      <c r="E92" s="20"/>
      <c r="F92" s="21"/>
      <c r="G92" s="21"/>
    </row>
    <row r="93" ht="15.75" customHeight="1">
      <c r="C93" s="20"/>
      <c r="D93" s="20"/>
      <c r="E93" s="20"/>
      <c r="F93" s="21"/>
      <c r="G93" s="21"/>
    </row>
    <row r="94" ht="15.75" customHeight="1">
      <c r="C94" s="20"/>
      <c r="D94" s="20"/>
      <c r="E94" s="20"/>
      <c r="F94" s="21"/>
      <c r="G94" s="21"/>
    </row>
    <row r="95" ht="15.75" customHeight="1">
      <c r="C95" s="20"/>
      <c r="D95" s="20"/>
      <c r="E95" s="20"/>
      <c r="F95" s="21"/>
      <c r="G95" s="21"/>
    </row>
    <row r="96" ht="15.75" customHeight="1">
      <c r="C96" s="20"/>
      <c r="D96" s="20"/>
      <c r="E96" s="20"/>
      <c r="F96" s="21"/>
      <c r="G96" s="21"/>
    </row>
    <row r="97" ht="15.75" customHeight="1">
      <c r="C97" s="20"/>
      <c r="D97" s="20"/>
      <c r="E97" s="20"/>
      <c r="F97" s="21"/>
      <c r="G97" s="21"/>
    </row>
    <row r="98" ht="15.75" customHeight="1">
      <c r="C98" s="20"/>
      <c r="D98" s="20"/>
      <c r="E98" s="20"/>
      <c r="F98" s="21"/>
      <c r="G98" s="21"/>
    </row>
    <row r="99" ht="15.75" customHeight="1">
      <c r="C99" s="20"/>
      <c r="D99" s="20"/>
      <c r="E99" s="20"/>
      <c r="F99" s="21"/>
      <c r="G99" s="21"/>
    </row>
    <row r="100" ht="15.75" customHeight="1">
      <c r="C100" s="20"/>
      <c r="D100" s="20"/>
      <c r="E100" s="20"/>
      <c r="F100" s="21"/>
      <c r="G100" s="21"/>
    </row>
    <row r="101" ht="15.75" customHeight="1">
      <c r="C101" s="20"/>
      <c r="D101" s="20"/>
      <c r="E101" s="20"/>
      <c r="F101" s="21"/>
      <c r="G101" s="21"/>
    </row>
    <row r="102" ht="15.75" customHeight="1">
      <c r="C102" s="20"/>
      <c r="D102" s="20"/>
      <c r="E102" s="20"/>
      <c r="F102" s="21"/>
      <c r="G102" s="21"/>
    </row>
    <row r="103" ht="15.75" customHeight="1">
      <c r="C103" s="20"/>
      <c r="D103" s="20"/>
      <c r="E103" s="20"/>
      <c r="F103" s="21"/>
      <c r="G103" s="21"/>
    </row>
    <row r="104" ht="15.75" customHeight="1">
      <c r="C104" s="20"/>
      <c r="D104" s="20"/>
      <c r="E104" s="20"/>
      <c r="F104" s="21"/>
      <c r="G104" s="21"/>
    </row>
    <row r="105" ht="15.75" customHeight="1">
      <c r="C105" s="20"/>
      <c r="D105" s="20"/>
      <c r="E105" s="20"/>
      <c r="F105" s="21"/>
      <c r="G105" s="21"/>
    </row>
    <row r="106" ht="15.75" customHeight="1">
      <c r="C106" s="20"/>
      <c r="D106" s="20"/>
      <c r="E106" s="20"/>
      <c r="F106" s="21"/>
      <c r="G106" s="21"/>
    </row>
    <row r="107" ht="15.75" customHeight="1">
      <c r="C107" s="20"/>
      <c r="D107" s="20"/>
      <c r="E107" s="20"/>
      <c r="F107" s="21"/>
      <c r="G107" s="21"/>
    </row>
    <row r="108" ht="15.75" customHeight="1">
      <c r="C108" s="20"/>
      <c r="D108" s="20"/>
      <c r="E108" s="20"/>
      <c r="F108" s="21"/>
      <c r="G108" s="21"/>
    </row>
    <row r="109" ht="15.75" customHeight="1">
      <c r="C109" s="20"/>
      <c r="D109" s="20"/>
      <c r="E109" s="20"/>
      <c r="F109" s="21"/>
      <c r="G109" s="21"/>
    </row>
    <row r="110" ht="15.75" customHeight="1">
      <c r="C110" s="20"/>
      <c r="D110" s="20"/>
      <c r="E110" s="20"/>
      <c r="F110" s="21"/>
      <c r="G110" s="21"/>
    </row>
    <row r="111" ht="15.75" customHeight="1">
      <c r="C111" s="20"/>
      <c r="D111" s="20"/>
      <c r="E111" s="20"/>
      <c r="F111" s="21"/>
      <c r="G111" s="21"/>
    </row>
    <row r="112" ht="15.75" customHeight="1">
      <c r="C112" s="20"/>
      <c r="D112" s="20"/>
      <c r="E112" s="20"/>
      <c r="F112" s="21"/>
      <c r="G112" s="21"/>
    </row>
    <row r="113" ht="15.75" customHeight="1">
      <c r="C113" s="20"/>
      <c r="D113" s="20"/>
      <c r="E113" s="20"/>
      <c r="F113" s="21"/>
      <c r="G113" s="21"/>
    </row>
    <row r="114" ht="15.75" customHeight="1">
      <c r="C114" s="20"/>
      <c r="D114" s="20"/>
      <c r="E114" s="20"/>
      <c r="F114" s="21"/>
      <c r="G114" s="21"/>
    </row>
    <row r="115" ht="15.75" customHeight="1">
      <c r="C115" s="20"/>
      <c r="D115" s="20"/>
      <c r="E115" s="20"/>
      <c r="F115" s="21"/>
      <c r="G115" s="21"/>
    </row>
    <row r="116" ht="15.75" customHeight="1">
      <c r="C116" s="20"/>
      <c r="D116" s="20"/>
      <c r="E116" s="20"/>
      <c r="F116" s="21"/>
      <c r="G116" s="21"/>
    </row>
    <row r="117" ht="15.75" customHeight="1">
      <c r="C117" s="20"/>
      <c r="D117" s="20"/>
      <c r="E117" s="20"/>
      <c r="F117" s="21"/>
      <c r="G117" s="21"/>
    </row>
    <row r="118" ht="15.75" customHeight="1">
      <c r="C118" s="20"/>
      <c r="D118" s="20"/>
      <c r="E118" s="20"/>
      <c r="F118" s="21"/>
      <c r="G118" s="21"/>
    </row>
    <row r="119" ht="15.75" customHeight="1">
      <c r="C119" s="20"/>
      <c r="D119" s="20"/>
      <c r="E119" s="20"/>
      <c r="F119" s="21"/>
      <c r="G119" s="21"/>
    </row>
    <row r="120" ht="15.75" customHeight="1">
      <c r="C120" s="20"/>
      <c r="D120" s="20"/>
      <c r="E120" s="20"/>
      <c r="F120" s="21"/>
      <c r="G120" s="21"/>
    </row>
    <row r="121" ht="15.75" customHeight="1">
      <c r="C121" s="20"/>
      <c r="D121" s="20"/>
      <c r="E121" s="20"/>
      <c r="F121" s="21"/>
      <c r="G121" s="21"/>
    </row>
    <row r="122" ht="15.75" customHeight="1">
      <c r="C122" s="20"/>
      <c r="D122" s="20"/>
      <c r="E122" s="20"/>
      <c r="F122" s="21"/>
      <c r="G122" s="21"/>
    </row>
    <row r="123" ht="15.75" customHeight="1">
      <c r="C123" s="20"/>
      <c r="D123" s="20"/>
      <c r="E123" s="20"/>
      <c r="F123" s="21"/>
      <c r="G123" s="21"/>
    </row>
    <row r="124" ht="15.75" customHeight="1">
      <c r="C124" s="20"/>
      <c r="D124" s="20"/>
      <c r="E124" s="20"/>
      <c r="F124" s="21"/>
      <c r="G124" s="21"/>
    </row>
    <row r="125" ht="15.75" customHeight="1">
      <c r="C125" s="20"/>
      <c r="D125" s="20"/>
      <c r="E125" s="20"/>
      <c r="F125" s="21"/>
      <c r="G125" s="21"/>
    </row>
    <row r="126" ht="15.75" customHeight="1">
      <c r="C126" s="20"/>
      <c r="D126" s="20"/>
      <c r="E126" s="20"/>
      <c r="F126" s="21"/>
      <c r="G126" s="21"/>
    </row>
    <row r="127" ht="15.75" customHeight="1">
      <c r="C127" s="20"/>
      <c r="D127" s="20"/>
      <c r="E127" s="20"/>
      <c r="F127" s="21"/>
      <c r="G127" s="21"/>
    </row>
    <row r="128" ht="15.75" customHeight="1">
      <c r="C128" s="20"/>
      <c r="D128" s="20"/>
      <c r="E128" s="20"/>
      <c r="F128" s="21"/>
      <c r="G128" s="21"/>
    </row>
    <row r="129" ht="15.75" customHeight="1">
      <c r="C129" s="20"/>
      <c r="D129" s="20"/>
      <c r="E129" s="20"/>
      <c r="F129" s="21"/>
      <c r="G129" s="21"/>
    </row>
    <row r="130" ht="15.75" customHeight="1">
      <c r="C130" s="20"/>
      <c r="D130" s="20"/>
      <c r="E130" s="20"/>
      <c r="F130" s="21"/>
      <c r="G130" s="21"/>
    </row>
    <row r="131" ht="15.75" customHeight="1">
      <c r="C131" s="20"/>
      <c r="D131" s="20"/>
      <c r="E131" s="20"/>
      <c r="F131" s="21"/>
      <c r="G131" s="21"/>
    </row>
    <row r="132" ht="15.75" customHeight="1">
      <c r="C132" s="20"/>
      <c r="D132" s="20"/>
      <c r="E132" s="20"/>
      <c r="F132" s="21"/>
      <c r="G132" s="21"/>
    </row>
    <row r="133" ht="15.75" customHeight="1">
      <c r="C133" s="20"/>
      <c r="D133" s="20"/>
      <c r="E133" s="20"/>
      <c r="F133" s="21"/>
      <c r="G133" s="21"/>
    </row>
    <row r="134" ht="15.75" customHeight="1">
      <c r="C134" s="20"/>
      <c r="D134" s="20"/>
      <c r="E134" s="20"/>
      <c r="F134" s="21"/>
      <c r="G134" s="21"/>
    </row>
    <row r="135" ht="15.75" customHeight="1">
      <c r="C135" s="20"/>
      <c r="D135" s="20"/>
      <c r="E135" s="20"/>
      <c r="F135" s="21"/>
      <c r="G135" s="21"/>
    </row>
    <row r="136" ht="15.75" customHeight="1">
      <c r="C136" s="20"/>
      <c r="D136" s="20"/>
      <c r="E136" s="20"/>
      <c r="F136" s="21"/>
      <c r="G136" s="21"/>
    </row>
    <row r="137" ht="15.75" customHeight="1">
      <c r="C137" s="20"/>
      <c r="D137" s="20"/>
      <c r="E137" s="20"/>
      <c r="F137" s="21"/>
      <c r="G137" s="21"/>
    </row>
    <row r="138" ht="15.75" customHeight="1">
      <c r="C138" s="20"/>
      <c r="D138" s="20"/>
      <c r="E138" s="20"/>
      <c r="F138" s="21"/>
      <c r="G138" s="21"/>
    </row>
    <row r="139" ht="15.75" customHeight="1">
      <c r="C139" s="20"/>
      <c r="D139" s="20"/>
      <c r="E139" s="20"/>
      <c r="F139" s="21"/>
      <c r="G139" s="21"/>
    </row>
    <row r="140" ht="15.75" customHeight="1">
      <c r="C140" s="20"/>
      <c r="D140" s="20"/>
      <c r="E140" s="20"/>
      <c r="F140" s="21"/>
      <c r="G140" s="21"/>
    </row>
    <row r="141" ht="15.75" customHeight="1">
      <c r="C141" s="20"/>
      <c r="D141" s="20"/>
      <c r="E141" s="20"/>
      <c r="F141" s="21"/>
      <c r="G141" s="21"/>
    </row>
    <row r="142" ht="15.75" customHeight="1">
      <c r="C142" s="20"/>
      <c r="D142" s="20"/>
      <c r="E142" s="20"/>
      <c r="F142" s="21"/>
      <c r="G142" s="21"/>
    </row>
    <row r="143" ht="15.75" customHeight="1">
      <c r="C143" s="20"/>
      <c r="D143" s="20"/>
      <c r="E143" s="20"/>
      <c r="F143" s="21"/>
      <c r="G143" s="21"/>
    </row>
    <row r="144" ht="15.75" customHeight="1">
      <c r="C144" s="20"/>
      <c r="D144" s="20"/>
      <c r="E144" s="20"/>
      <c r="F144" s="21"/>
      <c r="G144" s="21"/>
    </row>
    <row r="145" ht="15.75" customHeight="1">
      <c r="C145" s="20"/>
      <c r="D145" s="20"/>
      <c r="E145" s="20"/>
      <c r="F145" s="21"/>
      <c r="G145" s="21"/>
    </row>
    <row r="146" ht="15.75" customHeight="1">
      <c r="C146" s="20"/>
      <c r="D146" s="20"/>
      <c r="E146" s="20"/>
      <c r="F146" s="21"/>
      <c r="G146" s="21"/>
    </row>
    <row r="147" ht="15.75" customHeight="1">
      <c r="C147" s="20"/>
      <c r="D147" s="20"/>
      <c r="E147" s="20"/>
      <c r="F147" s="21"/>
      <c r="G147" s="21"/>
    </row>
    <row r="148" ht="15.75" customHeight="1">
      <c r="C148" s="20"/>
      <c r="D148" s="20"/>
      <c r="E148" s="20"/>
      <c r="F148" s="21"/>
      <c r="G148" s="21"/>
    </row>
    <row r="149" ht="15.75" customHeight="1">
      <c r="C149" s="20"/>
      <c r="D149" s="20"/>
      <c r="E149" s="20"/>
      <c r="F149" s="21"/>
      <c r="G149" s="21"/>
    </row>
    <row r="150" ht="15.75" customHeight="1">
      <c r="C150" s="20"/>
      <c r="D150" s="20"/>
      <c r="E150" s="20"/>
      <c r="F150" s="21"/>
      <c r="G150" s="21"/>
    </row>
    <row r="151" ht="15.75" customHeight="1">
      <c r="C151" s="20"/>
      <c r="D151" s="20"/>
      <c r="E151" s="20"/>
      <c r="F151" s="21"/>
      <c r="G151" s="21"/>
    </row>
    <row r="152" ht="15.75" customHeight="1">
      <c r="C152" s="20"/>
      <c r="D152" s="20"/>
      <c r="E152" s="20"/>
      <c r="F152" s="21"/>
      <c r="G152" s="21"/>
    </row>
    <row r="153" ht="15.75" customHeight="1">
      <c r="C153" s="20"/>
      <c r="D153" s="20"/>
      <c r="E153" s="20"/>
      <c r="F153" s="21"/>
      <c r="G153" s="21"/>
    </row>
    <row r="154" ht="15.75" customHeight="1">
      <c r="C154" s="20"/>
      <c r="D154" s="20"/>
      <c r="E154" s="20"/>
      <c r="F154" s="21"/>
      <c r="G154" s="21"/>
    </row>
    <row r="155" ht="15.75" customHeight="1">
      <c r="C155" s="20"/>
      <c r="D155" s="20"/>
      <c r="E155" s="20"/>
      <c r="F155" s="21"/>
      <c r="G155" s="21"/>
    </row>
    <row r="156" ht="15.75" customHeight="1">
      <c r="C156" s="20"/>
      <c r="D156" s="20"/>
      <c r="E156" s="20"/>
      <c r="F156" s="21"/>
      <c r="G156" s="21"/>
    </row>
    <row r="157" ht="15.75" customHeight="1">
      <c r="C157" s="20"/>
      <c r="D157" s="20"/>
      <c r="E157" s="20"/>
      <c r="F157" s="21"/>
      <c r="G157" s="21"/>
    </row>
    <row r="158" ht="15.75" customHeight="1">
      <c r="C158" s="20"/>
      <c r="D158" s="20"/>
      <c r="E158" s="20"/>
      <c r="F158" s="21"/>
      <c r="G158" s="21"/>
    </row>
    <row r="159" ht="15.75" customHeight="1">
      <c r="C159" s="20"/>
      <c r="D159" s="20"/>
      <c r="E159" s="20"/>
      <c r="F159" s="21"/>
      <c r="G159" s="21"/>
    </row>
    <row r="160" ht="15.75" customHeight="1">
      <c r="C160" s="20"/>
      <c r="D160" s="20"/>
      <c r="E160" s="20"/>
      <c r="F160" s="21"/>
      <c r="G160" s="21"/>
    </row>
    <row r="161" ht="15.75" customHeight="1">
      <c r="C161" s="20"/>
      <c r="D161" s="20"/>
      <c r="E161" s="20"/>
      <c r="F161" s="21"/>
      <c r="G161" s="21"/>
    </row>
    <row r="162" ht="15.75" customHeight="1">
      <c r="C162" s="20"/>
      <c r="D162" s="20"/>
      <c r="E162" s="20"/>
      <c r="F162" s="21"/>
      <c r="G162" s="21"/>
    </row>
    <row r="163" ht="15.75" customHeight="1">
      <c r="C163" s="20"/>
      <c r="D163" s="20"/>
      <c r="E163" s="20"/>
      <c r="F163" s="21"/>
      <c r="G163" s="21"/>
    </row>
    <row r="164" ht="15.75" customHeight="1">
      <c r="C164" s="20"/>
      <c r="D164" s="20"/>
      <c r="E164" s="20"/>
      <c r="F164" s="21"/>
      <c r="G164" s="21"/>
    </row>
    <row r="165" ht="15.75" customHeight="1">
      <c r="C165" s="20"/>
      <c r="D165" s="20"/>
      <c r="E165" s="20"/>
      <c r="F165" s="21"/>
      <c r="G165" s="21"/>
    </row>
    <row r="166" ht="15.75" customHeight="1">
      <c r="C166" s="20"/>
      <c r="D166" s="20"/>
      <c r="E166" s="20"/>
      <c r="F166" s="21"/>
      <c r="G166" s="21"/>
    </row>
    <row r="167" ht="15.75" customHeight="1">
      <c r="C167" s="20"/>
      <c r="D167" s="20"/>
      <c r="E167" s="20"/>
      <c r="F167" s="21"/>
      <c r="G167" s="21"/>
    </row>
    <row r="168" ht="15.75" customHeight="1">
      <c r="C168" s="20"/>
      <c r="D168" s="20"/>
      <c r="E168" s="20"/>
      <c r="F168" s="21"/>
      <c r="G168" s="21"/>
    </row>
    <row r="169" ht="15.75" customHeight="1">
      <c r="C169" s="20"/>
      <c r="D169" s="20"/>
      <c r="E169" s="20"/>
      <c r="F169" s="21"/>
      <c r="G169" s="21"/>
    </row>
    <row r="170" ht="15.75" customHeight="1">
      <c r="C170" s="20"/>
      <c r="D170" s="20"/>
      <c r="E170" s="20"/>
      <c r="F170" s="21"/>
      <c r="G170" s="21"/>
    </row>
    <row r="171" ht="15.75" customHeight="1">
      <c r="C171" s="20"/>
      <c r="D171" s="20"/>
      <c r="E171" s="20"/>
      <c r="F171" s="21"/>
      <c r="G171" s="21"/>
    </row>
    <row r="172" ht="15.75" customHeight="1">
      <c r="C172" s="20"/>
      <c r="D172" s="20"/>
      <c r="E172" s="20"/>
      <c r="F172" s="21"/>
      <c r="G172" s="21"/>
    </row>
    <row r="173" ht="15.75" customHeight="1">
      <c r="C173" s="20"/>
      <c r="D173" s="20"/>
      <c r="E173" s="20"/>
      <c r="F173" s="21"/>
      <c r="G173" s="21"/>
    </row>
    <row r="174" ht="15.75" customHeight="1">
      <c r="C174" s="20"/>
      <c r="D174" s="20"/>
      <c r="E174" s="20"/>
      <c r="F174" s="21"/>
      <c r="G174" s="21"/>
    </row>
    <row r="175" ht="15.75" customHeight="1">
      <c r="C175" s="20"/>
      <c r="D175" s="20"/>
      <c r="E175" s="20"/>
      <c r="F175" s="21"/>
      <c r="G175" s="21"/>
    </row>
    <row r="176" ht="15.75" customHeight="1">
      <c r="C176" s="20"/>
      <c r="D176" s="20"/>
      <c r="E176" s="20"/>
      <c r="F176" s="21"/>
      <c r="G176" s="21"/>
    </row>
    <row r="177" ht="15.75" customHeight="1">
      <c r="C177" s="20"/>
      <c r="D177" s="20"/>
      <c r="E177" s="20"/>
      <c r="F177" s="21"/>
      <c r="G177" s="21"/>
    </row>
    <row r="178" ht="15.75" customHeight="1">
      <c r="C178" s="20"/>
      <c r="D178" s="20"/>
      <c r="E178" s="20"/>
      <c r="F178" s="21"/>
      <c r="G178" s="21"/>
    </row>
    <row r="179" ht="15.75" customHeight="1">
      <c r="C179" s="20"/>
      <c r="D179" s="20"/>
      <c r="E179" s="20"/>
      <c r="F179" s="21"/>
      <c r="G179" s="21"/>
    </row>
    <row r="180" ht="15.75" customHeight="1">
      <c r="C180" s="20"/>
      <c r="D180" s="20"/>
      <c r="E180" s="20"/>
      <c r="F180" s="21"/>
      <c r="G180" s="21"/>
    </row>
    <row r="181" ht="15.75" customHeight="1">
      <c r="C181" s="20"/>
      <c r="D181" s="20"/>
      <c r="E181" s="20"/>
      <c r="F181" s="21"/>
      <c r="G181" s="21"/>
    </row>
    <row r="182" ht="15.75" customHeight="1">
      <c r="C182" s="20"/>
      <c r="D182" s="20"/>
      <c r="E182" s="20"/>
      <c r="F182" s="21"/>
      <c r="G182" s="21"/>
    </row>
    <row r="183" ht="15.75" customHeight="1">
      <c r="C183" s="20"/>
      <c r="D183" s="20"/>
      <c r="E183" s="20"/>
      <c r="F183" s="21"/>
      <c r="G183" s="21"/>
    </row>
    <row r="184" ht="15.75" customHeight="1">
      <c r="C184" s="20"/>
      <c r="D184" s="20"/>
      <c r="E184" s="20"/>
      <c r="F184" s="21"/>
      <c r="G184" s="21"/>
    </row>
    <row r="185" ht="15.75" customHeight="1">
      <c r="C185" s="20"/>
      <c r="D185" s="20"/>
      <c r="E185" s="20"/>
      <c r="F185" s="21"/>
      <c r="G185" s="21"/>
    </row>
    <row r="186" ht="15.75" customHeight="1">
      <c r="C186" s="20"/>
      <c r="D186" s="20"/>
      <c r="E186" s="20"/>
      <c r="F186" s="21"/>
      <c r="G186" s="21"/>
    </row>
    <row r="187" ht="15.75" customHeight="1">
      <c r="C187" s="20"/>
      <c r="D187" s="20"/>
      <c r="E187" s="20"/>
      <c r="F187" s="21"/>
      <c r="G187" s="21"/>
    </row>
    <row r="188" ht="15.75" customHeight="1">
      <c r="C188" s="20"/>
      <c r="D188" s="20"/>
      <c r="E188" s="20"/>
      <c r="F188" s="21"/>
      <c r="G188" s="21"/>
    </row>
    <row r="189" ht="15.75" customHeight="1">
      <c r="C189" s="20"/>
      <c r="D189" s="20"/>
      <c r="E189" s="20"/>
      <c r="F189" s="21"/>
      <c r="G189" s="21"/>
    </row>
    <row r="190" ht="15.75" customHeight="1">
      <c r="C190" s="20"/>
      <c r="D190" s="20"/>
      <c r="E190" s="20"/>
      <c r="F190" s="21"/>
      <c r="G190" s="21"/>
    </row>
    <row r="191" ht="15.75" customHeight="1">
      <c r="C191" s="20"/>
      <c r="D191" s="20"/>
      <c r="E191" s="20"/>
      <c r="F191" s="21"/>
      <c r="G191" s="21"/>
    </row>
    <row r="192" ht="15.75" customHeight="1">
      <c r="C192" s="20"/>
      <c r="D192" s="20"/>
      <c r="E192" s="20"/>
      <c r="F192" s="21"/>
      <c r="G192" s="21"/>
    </row>
    <row r="193" ht="15.75" customHeight="1">
      <c r="C193" s="20"/>
      <c r="D193" s="20"/>
      <c r="E193" s="20"/>
      <c r="F193" s="21"/>
      <c r="G193" s="21"/>
    </row>
    <row r="194" ht="15.75" customHeight="1">
      <c r="C194" s="20"/>
      <c r="D194" s="20"/>
      <c r="E194" s="20"/>
      <c r="F194" s="21"/>
      <c r="G194" s="21"/>
    </row>
    <row r="195" ht="15.75" customHeight="1">
      <c r="C195" s="20"/>
      <c r="D195" s="20"/>
      <c r="E195" s="20"/>
      <c r="F195" s="21"/>
      <c r="G195" s="21"/>
    </row>
    <row r="196" ht="15.75" customHeight="1">
      <c r="C196" s="20"/>
      <c r="D196" s="20"/>
      <c r="E196" s="20"/>
      <c r="F196" s="21"/>
      <c r="G196" s="21"/>
    </row>
    <row r="197" ht="15.75" customHeight="1">
      <c r="C197" s="20"/>
      <c r="D197" s="20"/>
      <c r="E197" s="20"/>
      <c r="F197" s="21"/>
      <c r="G197" s="21"/>
    </row>
    <row r="198" ht="15.75" customHeight="1">
      <c r="C198" s="20"/>
      <c r="D198" s="20"/>
      <c r="E198" s="20"/>
      <c r="F198" s="21"/>
      <c r="G198" s="21"/>
    </row>
    <row r="199" ht="15.75" customHeight="1">
      <c r="C199" s="20"/>
      <c r="D199" s="20"/>
      <c r="E199" s="20"/>
      <c r="F199" s="21"/>
      <c r="G199" s="21"/>
    </row>
    <row r="200" ht="15.75" customHeight="1">
      <c r="C200" s="20"/>
      <c r="D200" s="20"/>
      <c r="E200" s="20"/>
      <c r="F200" s="21"/>
      <c r="G200" s="21"/>
    </row>
    <row r="201" ht="15.75" customHeight="1">
      <c r="C201" s="20"/>
      <c r="D201" s="20"/>
      <c r="E201" s="20"/>
      <c r="F201" s="21"/>
      <c r="G201" s="21"/>
    </row>
    <row r="202" ht="15.75" customHeight="1">
      <c r="C202" s="20"/>
      <c r="D202" s="20"/>
      <c r="E202" s="20"/>
      <c r="F202" s="21"/>
      <c r="G202" s="21"/>
    </row>
    <row r="203" ht="15.75" customHeight="1">
      <c r="C203" s="20"/>
      <c r="D203" s="20"/>
      <c r="E203" s="20"/>
      <c r="F203" s="21"/>
      <c r="G203" s="21"/>
    </row>
    <row r="204" ht="15.75" customHeight="1">
      <c r="C204" s="20"/>
      <c r="D204" s="20"/>
      <c r="E204" s="20"/>
      <c r="F204" s="21"/>
      <c r="G204" s="21"/>
    </row>
    <row r="205" ht="15.75" customHeight="1">
      <c r="C205" s="20"/>
      <c r="D205" s="20"/>
      <c r="E205" s="20"/>
      <c r="F205" s="21"/>
      <c r="G205" s="21"/>
    </row>
    <row r="206" ht="15.75" customHeight="1">
      <c r="C206" s="20"/>
      <c r="D206" s="20"/>
      <c r="E206" s="20"/>
      <c r="F206" s="21"/>
      <c r="G206" s="21"/>
    </row>
    <row r="207" ht="15.75" customHeight="1">
      <c r="C207" s="20"/>
      <c r="D207" s="20"/>
      <c r="E207" s="20"/>
      <c r="F207" s="21"/>
      <c r="G207" s="21"/>
    </row>
    <row r="208" ht="15.75" customHeight="1">
      <c r="C208" s="20"/>
      <c r="D208" s="20"/>
      <c r="E208" s="20"/>
      <c r="F208" s="21"/>
      <c r="G208" s="21"/>
    </row>
    <row r="209" ht="15.75" customHeight="1">
      <c r="C209" s="20"/>
      <c r="D209" s="20"/>
      <c r="E209" s="20"/>
      <c r="F209" s="21"/>
      <c r="G209" s="21"/>
    </row>
    <row r="210" ht="15.75" customHeight="1">
      <c r="C210" s="20"/>
      <c r="D210" s="20"/>
      <c r="E210" s="20"/>
      <c r="F210" s="21"/>
      <c r="G210" s="21"/>
    </row>
    <row r="211" ht="15.75" customHeight="1">
      <c r="C211" s="20"/>
      <c r="D211" s="20"/>
      <c r="E211" s="20"/>
      <c r="F211" s="21"/>
      <c r="G211" s="21"/>
    </row>
    <row r="212" ht="15.75" customHeight="1">
      <c r="C212" s="20"/>
      <c r="D212" s="20"/>
      <c r="E212" s="20"/>
      <c r="F212" s="21"/>
      <c r="G212" s="21"/>
    </row>
    <row r="213" ht="15.75" customHeight="1">
      <c r="C213" s="20"/>
      <c r="D213" s="20"/>
      <c r="E213" s="20"/>
      <c r="F213" s="21"/>
      <c r="G213" s="21"/>
    </row>
    <row r="214" ht="15.75" customHeight="1">
      <c r="C214" s="20"/>
      <c r="D214" s="20"/>
      <c r="E214" s="20"/>
      <c r="F214" s="21"/>
      <c r="G214" s="21"/>
    </row>
    <row r="215" ht="15.75" customHeight="1">
      <c r="C215" s="20"/>
      <c r="D215" s="20"/>
      <c r="E215" s="20"/>
      <c r="F215" s="21"/>
      <c r="G215" s="21"/>
    </row>
    <row r="216" ht="15.75" customHeight="1">
      <c r="C216" s="20"/>
      <c r="D216" s="20"/>
      <c r="E216" s="20"/>
      <c r="F216" s="21"/>
      <c r="G216" s="21"/>
    </row>
    <row r="217" ht="15.75" customHeight="1">
      <c r="C217" s="20"/>
      <c r="D217" s="20"/>
      <c r="E217" s="20"/>
      <c r="F217" s="21"/>
      <c r="G217" s="21"/>
    </row>
    <row r="218" ht="15.75" customHeight="1">
      <c r="C218" s="20"/>
      <c r="D218" s="20"/>
      <c r="E218" s="20"/>
      <c r="F218" s="21"/>
      <c r="G218" s="21"/>
    </row>
    <row r="219" ht="15.75" customHeight="1">
      <c r="C219" s="20"/>
      <c r="D219" s="20"/>
      <c r="E219" s="20"/>
      <c r="F219" s="21"/>
      <c r="G219" s="21"/>
    </row>
    <row r="220" ht="15.75" customHeight="1">
      <c r="C220" s="20"/>
      <c r="D220" s="20"/>
      <c r="E220" s="20"/>
      <c r="F220" s="21"/>
      <c r="G220" s="21"/>
    </row>
    <row r="221" ht="15.75" customHeight="1">
      <c r="C221" s="20"/>
      <c r="D221" s="20"/>
      <c r="E221" s="20"/>
      <c r="F221" s="21"/>
      <c r="G221" s="21"/>
    </row>
    <row r="222" ht="15.75" customHeight="1">
      <c r="C222" s="20"/>
      <c r="D222" s="20"/>
      <c r="E222" s="20"/>
      <c r="F222" s="21"/>
      <c r="G222" s="21"/>
    </row>
    <row r="223" ht="15.75" customHeight="1">
      <c r="C223" s="20"/>
      <c r="D223" s="20"/>
      <c r="E223" s="20"/>
      <c r="F223" s="21"/>
      <c r="G223" s="21"/>
    </row>
    <row r="224" ht="15.75" customHeight="1">
      <c r="C224" s="20"/>
      <c r="D224" s="20"/>
      <c r="E224" s="20"/>
      <c r="F224" s="21"/>
      <c r="G224" s="21"/>
    </row>
    <row r="225" ht="15.75" customHeight="1">
      <c r="C225" s="20"/>
      <c r="D225" s="20"/>
      <c r="E225" s="20"/>
      <c r="F225" s="21"/>
      <c r="G225" s="21"/>
    </row>
    <row r="226" ht="15.75" customHeight="1">
      <c r="C226" s="20"/>
      <c r="D226" s="20"/>
      <c r="E226" s="20"/>
      <c r="F226" s="21"/>
      <c r="G226" s="21"/>
    </row>
    <row r="227" ht="15.75" customHeight="1">
      <c r="C227" s="20"/>
      <c r="D227" s="20"/>
      <c r="E227" s="20"/>
      <c r="F227" s="21"/>
      <c r="G227" s="21"/>
    </row>
    <row r="228" ht="15.75" customHeight="1">
      <c r="C228" s="20"/>
      <c r="D228" s="20"/>
      <c r="E228" s="20"/>
      <c r="F228" s="21"/>
      <c r="G228" s="21"/>
    </row>
    <row r="229" ht="15.75" customHeight="1">
      <c r="C229" s="20"/>
      <c r="D229" s="20"/>
      <c r="E229" s="20"/>
      <c r="F229" s="21"/>
      <c r="G229" s="21"/>
    </row>
    <row r="230" ht="15.75" customHeight="1">
      <c r="C230" s="20"/>
      <c r="D230" s="20"/>
      <c r="E230" s="20"/>
      <c r="F230" s="21"/>
      <c r="G230" s="21"/>
    </row>
    <row r="231" ht="15.75" customHeight="1">
      <c r="C231" s="20"/>
      <c r="D231" s="20"/>
      <c r="E231" s="20"/>
      <c r="F231" s="21"/>
      <c r="G231" s="21"/>
    </row>
    <row r="232" ht="15.75" customHeight="1">
      <c r="C232" s="20"/>
      <c r="D232" s="20"/>
      <c r="E232" s="20"/>
      <c r="F232" s="21"/>
      <c r="G232" s="21"/>
    </row>
    <row r="233" ht="15.75" customHeight="1">
      <c r="C233" s="20"/>
      <c r="D233" s="20"/>
      <c r="E233" s="20"/>
      <c r="F233" s="21"/>
      <c r="G233" s="21"/>
    </row>
    <row r="234" ht="15.75" customHeight="1">
      <c r="C234" s="20"/>
      <c r="D234" s="20"/>
      <c r="E234" s="20"/>
      <c r="F234" s="21"/>
      <c r="G234" s="21"/>
    </row>
    <row r="235" ht="15.75" customHeight="1">
      <c r="C235" s="20"/>
      <c r="D235" s="20"/>
      <c r="E235" s="20"/>
      <c r="F235" s="21"/>
      <c r="G235" s="21"/>
    </row>
    <row r="236" ht="15.75" customHeight="1">
      <c r="C236" s="20"/>
      <c r="D236" s="20"/>
      <c r="E236" s="20"/>
      <c r="F236" s="21"/>
      <c r="G236" s="21"/>
    </row>
    <row r="237" ht="15.75" customHeight="1">
      <c r="C237" s="20"/>
      <c r="D237" s="20"/>
      <c r="E237" s="20"/>
      <c r="F237" s="21"/>
      <c r="G237" s="21"/>
    </row>
    <row r="238" ht="15.75" customHeight="1">
      <c r="C238" s="20"/>
      <c r="D238" s="20"/>
      <c r="E238" s="20"/>
      <c r="F238" s="21"/>
      <c r="G238" s="21"/>
    </row>
    <row r="239" ht="15.75" customHeight="1">
      <c r="C239" s="20"/>
      <c r="D239" s="20"/>
      <c r="E239" s="20"/>
      <c r="F239" s="21"/>
      <c r="G239" s="21"/>
    </row>
    <row r="240" ht="15.75" customHeight="1">
      <c r="C240" s="20"/>
      <c r="D240" s="20"/>
      <c r="E240" s="20"/>
      <c r="F240" s="21"/>
      <c r="G240" s="21"/>
    </row>
    <row r="241" ht="15.75" customHeight="1">
      <c r="C241" s="20"/>
      <c r="D241" s="20"/>
      <c r="E241" s="20"/>
      <c r="F241" s="21"/>
      <c r="G241" s="21"/>
    </row>
    <row r="242" ht="15.75" customHeight="1">
      <c r="C242" s="20"/>
      <c r="D242" s="20"/>
      <c r="E242" s="20"/>
      <c r="F242" s="21"/>
      <c r="G242" s="21"/>
    </row>
    <row r="243" ht="15.75" customHeight="1">
      <c r="C243" s="20"/>
      <c r="D243" s="20"/>
      <c r="E243" s="20"/>
      <c r="F243" s="21"/>
      <c r="G243" s="21"/>
    </row>
    <row r="244" ht="15.75" customHeight="1">
      <c r="C244" s="20"/>
      <c r="D244" s="20"/>
      <c r="E244" s="20"/>
      <c r="F244" s="21"/>
      <c r="G244" s="21"/>
    </row>
    <row r="245" ht="15.75" customHeight="1">
      <c r="C245" s="20"/>
      <c r="D245" s="20"/>
      <c r="E245" s="20"/>
      <c r="F245" s="21"/>
      <c r="G245" s="21"/>
    </row>
    <row r="246" ht="15.75" customHeight="1">
      <c r="C246" s="20"/>
      <c r="D246" s="20"/>
      <c r="E246" s="20"/>
      <c r="F246" s="21"/>
      <c r="G246" s="21"/>
    </row>
    <row r="247" ht="15.75" customHeight="1">
      <c r="C247" s="20"/>
      <c r="D247" s="20"/>
      <c r="E247" s="20"/>
      <c r="F247" s="21"/>
      <c r="G247" s="21"/>
    </row>
    <row r="248" ht="15.75" customHeight="1">
      <c r="C248" s="20"/>
      <c r="D248" s="20"/>
      <c r="E248" s="20"/>
      <c r="F248" s="21"/>
      <c r="G248" s="21"/>
    </row>
    <row r="249" ht="15.75" customHeight="1">
      <c r="C249" s="20"/>
      <c r="D249" s="20"/>
      <c r="E249" s="20"/>
      <c r="F249" s="21"/>
      <c r="G249" s="21"/>
    </row>
    <row r="250" ht="15.75" customHeight="1">
      <c r="C250" s="20"/>
      <c r="D250" s="20"/>
      <c r="E250" s="20"/>
      <c r="F250" s="21"/>
      <c r="G250" s="21"/>
    </row>
    <row r="251" ht="15.75" customHeight="1">
      <c r="C251" s="20"/>
      <c r="D251" s="20"/>
      <c r="E251" s="20"/>
      <c r="F251" s="21"/>
      <c r="G251" s="21"/>
    </row>
    <row r="252" ht="15.75" customHeight="1">
      <c r="C252" s="20"/>
      <c r="D252" s="20"/>
      <c r="E252" s="20"/>
      <c r="F252" s="21"/>
      <c r="G252" s="21"/>
    </row>
    <row r="253" ht="15.75" customHeight="1">
      <c r="C253" s="20"/>
      <c r="D253" s="20"/>
      <c r="E253" s="20"/>
      <c r="F253" s="21"/>
      <c r="G253" s="21"/>
    </row>
    <row r="254" ht="15.75" customHeight="1">
      <c r="C254" s="20"/>
      <c r="D254" s="20"/>
      <c r="E254" s="20"/>
      <c r="F254" s="21"/>
      <c r="G254" s="21"/>
    </row>
    <row r="255" ht="15.75" customHeight="1">
      <c r="C255" s="20"/>
      <c r="D255" s="20"/>
      <c r="E255" s="20"/>
      <c r="F255" s="21"/>
      <c r="G255" s="21"/>
    </row>
    <row r="256" ht="15.75" customHeight="1">
      <c r="C256" s="20"/>
      <c r="D256" s="20"/>
      <c r="E256" s="20"/>
      <c r="F256" s="21"/>
      <c r="G256" s="21"/>
    </row>
    <row r="257" ht="15.75" customHeight="1">
      <c r="C257" s="20"/>
      <c r="D257" s="20"/>
      <c r="E257" s="20"/>
      <c r="F257" s="21"/>
      <c r="G257" s="21"/>
    </row>
    <row r="258" ht="15.75" customHeight="1">
      <c r="C258" s="20"/>
      <c r="D258" s="20"/>
      <c r="E258" s="20"/>
      <c r="F258" s="21"/>
      <c r="G258" s="21"/>
    </row>
    <row r="259" ht="15.75" customHeight="1">
      <c r="C259" s="20"/>
      <c r="D259" s="20"/>
      <c r="E259" s="20"/>
      <c r="F259" s="21"/>
      <c r="G259" s="21"/>
    </row>
    <row r="260" ht="15.75" customHeight="1">
      <c r="C260" s="20"/>
      <c r="D260" s="20"/>
      <c r="E260" s="20"/>
      <c r="F260" s="21"/>
      <c r="G260" s="21"/>
    </row>
    <row r="261" ht="15.75" customHeight="1">
      <c r="C261" s="20"/>
      <c r="D261" s="20"/>
      <c r="E261" s="20"/>
      <c r="F261" s="21"/>
      <c r="G261" s="21"/>
    </row>
    <row r="262" ht="15.75" customHeight="1">
      <c r="C262" s="20"/>
      <c r="D262" s="20"/>
      <c r="E262" s="20"/>
      <c r="F262" s="21"/>
      <c r="G262" s="21"/>
    </row>
    <row r="263" ht="15.75" customHeight="1">
      <c r="C263" s="20"/>
      <c r="D263" s="20"/>
      <c r="E263" s="20"/>
      <c r="F263" s="21"/>
      <c r="G263" s="21"/>
    </row>
    <row r="264" ht="15.75" customHeight="1">
      <c r="C264" s="20"/>
      <c r="D264" s="20"/>
      <c r="E264" s="20"/>
      <c r="F264" s="21"/>
      <c r="G264" s="21"/>
    </row>
    <row r="265" ht="15.75" customHeight="1">
      <c r="C265" s="20"/>
      <c r="D265" s="20"/>
      <c r="E265" s="20"/>
      <c r="F265" s="21"/>
      <c r="G265" s="21"/>
    </row>
    <row r="266" ht="15.75" customHeight="1">
      <c r="C266" s="20"/>
      <c r="D266" s="20"/>
      <c r="E266" s="20"/>
      <c r="F266" s="21"/>
      <c r="G266" s="21"/>
    </row>
    <row r="267" ht="15.75" customHeight="1">
      <c r="C267" s="20"/>
      <c r="D267" s="20"/>
      <c r="E267" s="20"/>
      <c r="F267" s="21"/>
      <c r="G267" s="21"/>
    </row>
    <row r="268" ht="15.75" customHeight="1">
      <c r="C268" s="20"/>
      <c r="D268" s="20"/>
      <c r="E268" s="20"/>
      <c r="F268" s="21"/>
      <c r="G268" s="21"/>
    </row>
    <row r="269" ht="15.75" customHeight="1">
      <c r="C269" s="20"/>
      <c r="D269" s="20"/>
      <c r="E269" s="20"/>
      <c r="F269" s="21"/>
      <c r="G269" s="21"/>
    </row>
    <row r="270" ht="15.75" customHeight="1">
      <c r="C270" s="20"/>
      <c r="D270" s="20"/>
      <c r="E270" s="20"/>
      <c r="F270" s="21"/>
      <c r="G270" s="21"/>
    </row>
    <row r="271" ht="15.75" customHeight="1">
      <c r="C271" s="20"/>
      <c r="D271" s="20"/>
      <c r="E271" s="20"/>
      <c r="F271" s="21"/>
      <c r="G271" s="21"/>
    </row>
    <row r="272" ht="15.75" customHeight="1">
      <c r="C272" s="20"/>
      <c r="D272" s="20"/>
      <c r="E272" s="20"/>
      <c r="F272" s="21"/>
      <c r="G272" s="21"/>
    </row>
    <row r="273" ht="15.75" customHeight="1">
      <c r="C273" s="20"/>
      <c r="D273" s="20"/>
      <c r="E273" s="20"/>
      <c r="F273" s="21"/>
      <c r="G273" s="21"/>
    </row>
    <row r="274" ht="15.75" customHeight="1">
      <c r="C274" s="20"/>
      <c r="D274" s="20"/>
      <c r="E274" s="20"/>
      <c r="F274" s="21"/>
      <c r="G274" s="21"/>
    </row>
    <row r="275" ht="15.75" customHeight="1">
      <c r="C275" s="20"/>
      <c r="D275" s="20"/>
      <c r="E275" s="20"/>
      <c r="F275" s="21"/>
      <c r="G275" s="21"/>
    </row>
    <row r="276" ht="15.75" customHeight="1">
      <c r="C276" s="20"/>
      <c r="D276" s="20"/>
      <c r="E276" s="20"/>
      <c r="F276" s="21"/>
      <c r="G276" s="21"/>
    </row>
    <row r="277" ht="15.75" customHeight="1">
      <c r="C277" s="20"/>
      <c r="D277" s="20"/>
      <c r="E277" s="20"/>
      <c r="F277" s="21"/>
      <c r="G277" s="21"/>
    </row>
    <row r="278" ht="15.75" customHeight="1">
      <c r="C278" s="20"/>
      <c r="D278" s="20"/>
      <c r="E278" s="20"/>
      <c r="F278" s="21"/>
      <c r="G278" s="21"/>
    </row>
    <row r="279" ht="15.75" customHeight="1">
      <c r="C279" s="20"/>
      <c r="D279" s="20"/>
      <c r="E279" s="20"/>
      <c r="F279" s="21"/>
      <c r="G279" s="21"/>
    </row>
    <row r="280" ht="15.75" customHeight="1">
      <c r="C280" s="20"/>
      <c r="D280" s="20"/>
      <c r="E280" s="20"/>
      <c r="F280" s="21"/>
      <c r="G280" s="21"/>
    </row>
    <row r="281" ht="15.75" customHeight="1">
      <c r="C281" s="20"/>
      <c r="D281" s="20"/>
      <c r="E281" s="20"/>
      <c r="F281" s="21"/>
      <c r="G281" s="21"/>
    </row>
    <row r="282" ht="15.75" customHeight="1">
      <c r="C282" s="20"/>
      <c r="D282" s="20"/>
      <c r="E282" s="20"/>
      <c r="F282" s="21"/>
      <c r="G282" s="21"/>
    </row>
    <row r="283" ht="15.75" customHeight="1">
      <c r="C283" s="20"/>
      <c r="D283" s="20"/>
      <c r="E283" s="20"/>
      <c r="F283" s="21"/>
      <c r="G283" s="21"/>
    </row>
    <row r="284" ht="15.75" customHeight="1">
      <c r="C284" s="20"/>
      <c r="D284" s="20"/>
      <c r="E284" s="20"/>
      <c r="F284" s="21"/>
      <c r="G284" s="21"/>
    </row>
    <row r="285" ht="15.75" customHeight="1">
      <c r="C285" s="20"/>
      <c r="D285" s="20"/>
      <c r="E285" s="20"/>
      <c r="F285" s="21"/>
      <c r="G285" s="21"/>
    </row>
    <row r="286" ht="15.75" customHeight="1">
      <c r="C286" s="20"/>
      <c r="D286" s="20"/>
      <c r="E286" s="20"/>
      <c r="F286" s="21"/>
      <c r="G286" s="21"/>
    </row>
    <row r="287" ht="15.75" customHeight="1">
      <c r="C287" s="20"/>
      <c r="D287" s="20"/>
      <c r="E287" s="20"/>
      <c r="F287" s="21"/>
      <c r="G287" s="21"/>
    </row>
    <row r="288" ht="15.75" customHeight="1">
      <c r="C288" s="20"/>
      <c r="D288" s="20"/>
      <c r="E288" s="20"/>
      <c r="F288" s="21"/>
      <c r="G288" s="21"/>
    </row>
    <row r="289" ht="15.75" customHeight="1">
      <c r="C289" s="20"/>
      <c r="D289" s="20"/>
      <c r="E289" s="20"/>
      <c r="F289" s="21"/>
      <c r="G289" s="21"/>
    </row>
    <row r="290" ht="15.75" customHeight="1">
      <c r="C290" s="20"/>
      <c r="D290" s="20"/>
      <c r="E290" s="20"/>
      <c r="F290" s="21"/>
      <c r="G290" s="21"/>
    </row>
    <row r="291" ht="15.75" customHeight="1">
      <c r="C291" s="20"/>
      <c r="D291" s="20"/>
      <c r="E291" s="20"/>
      <c r="F291" s="21"/>
      <c r="G291" s="21"/>
    </row>
    <row r="292" ht="15.75" customHeight="1">
      <c r="C292" s="20"/>
      <c r="D292" s="20"/>
      <c r="E292" s="20"/>
      <c r="F292" s="21"/>
      <c r="G292" s="21"/>
    </row>
    <row r="293" ht="15.75" customHeight="1">
      <c r="C293" s="20"/>
      <c r="D293" s="20"/>
      <c r="E293" s="20"/>
      <c r="F293" s="21"/>
      <c r="G293" s="21"/>
    </row>
    <row r="294" ht="15.75" customHeight="1">
      <c r="C294" s="20"/>
      <c r="D294" s="20"/>
      <c r="E294" s="20"/>
      <c r="F294" s="21"/>
      <c r="G294" s="21"/>
    </row>
    <row r="295" ht="15.75" customHeight="1">
      <c r="C295" s="20"/>
      <c r="D295" s="20"/>
      <c r="E295" s="20"/>
      <c r="F295" s="21"/>
      <c r="G295" s="21"/>
    </row>
    <row r="296" ht="15.75" customHeight="1">
      <c r="C296" s="20"/>
      <c r="D296" s="20"/>
      <c r="E296" s="20"/>
      <c r="F296" s="21"/>
      <c r="G296" s="21"/>
    </row>
    <row r="297" ht="15.75" customHeight="1">
      <c r="C297" s="20"/>
      <c r="D297" s="20"/>
      <c r="E297" s="20"/>
      <c r="F297" s="21"/>
      <c r="G297" s="21"/>
    </row>
    <row r="298" ht="15.75" customHeight="1">
      <c r="C298" s="20"/>
      <c r="D298" s="20"/>
      <c r="E298" s="20"/>
      <c r="F298" s="21"/>
      <c r="G298" s="21"/>
    </row>
    <row r="299" ht="15.75" customHeight="1">
      <c r="C299" s="20"/>
      <c r="D299" s="20"/>
      <c r="E299" s="20"/>
      <c r="F299" s="21"/>
      <c r="G299" s="21"/>
    </row>
    <row r="300" ht="15.75" customHeight="1">
      <c r="C300" s="20"/>
      <c r="D300" s="20"/>
      <c r="E300" s="20"/>
      <c r="F300" s="21"/>
      <c r="G300" s="21"/>
    </row>
    <row r="301" ht="15.75" customHeight="1">
      <c r="C301" s="20"/>
      <c r="D301" s="20"/>
      <c r="E301" s="20"/>
      <c r="F301" s="21"/>
      <c r="G301" s="21"/>
    </row>
    <row r="302" ht="15.75" customHeight="1">
      <c r="C302" s="20"/>
      <c r="D302" s="20"/>
      <c r="E302" s="20"/>
      <c r="F302" s="21"/>
      <c r="G302" s="21"/>
    </row>
    <row r="303" ht="15.75" customHeight="1">
      <c r="C303" s="20"/>
      <c r="D303" s="20"/>
      <c r="E303" s="20"/>
      <c r="F303" s="21"/>
      <c r="G303" s="21"/>
    </row>
    <row r="304" ht="15.75" customHeight="1">
      <c r="C304" s="20"/>
      <c r="D304" s="20"/>
      <c r="E304" s="20"/>
      <c r="F304" s="21"/>
      <c r="G304" s="21"/>
    </row>
    <row r="305" ht="15.75" customHeight="1">
      <c r="C305" s="20"/>
      <c r="D305" s="20"/>
      <c r="E305" s="20"/>
      <c r="F305" s="21"/>
      <c r="G305" s="21"/>
    </row>
    <row r="306" ht="15.75" customHeight="1">
      <c r="C306" s="20"/>
      <c r="D306" s="20"/>
      <c r="E306" s="20"/>
      <c r="F306" s="21"/>
      <c r="G306" s="21"/>
    </row>
    <row r="307" ht="15.75" customHeight="1">
      <c r="C307" s="20"/>
      <c r="D307" s="20"/>
      <c r="E307" s="20"/>
      <c r="F307" s="21"/>
      <c r="G307" s="21"/>
    </row>
    <row r="308" ht="15.75" customHeight="1">
      <c r="C308" s="20"/>
      <c r="D308" s="20"/>
      <c r="E308" s="20"/>
      <c r="F308" s="21"/>
      <c r="G308" s="21"/>
    </row>
    <row r="309" ht="15.75" customHeight="1">
      <c r="C309" s="20"/>
      <c r="D309" s="20"/>
      <c r="E309" s="20"/>
      <c r="F309" s="21"/>
      <c r="G309" s="21"/>
    </row>
    <row r="310" ht="15.75" customHeight="1">
      <c r="C310" s="20"/>
      <c r="D310" s="20"/>
      <c r="E310" s="20"/>
      <c r="F310" s="21"/>
      <c r="G310" s="21"/>
    </row>
    <row r="311" ht="15.75" customHeight="1">
      <c r="C311" s="20"/>
      <c r="D311" s="20"/>
      <c r="E311" s="20"/>
      <c r="F311" s="21"/>
      <c r="G311" s="21"/>
    </row>
    <row r="312" ht="15.75" customHeight="1">
      <c r="C312" s="20"/>
      <c r="D312" s="20"/>
      <c r="E312" s="20"/>
      <c r="F312" s="21"/>
      <c r="G312" s="21"/>
    </row>
    <row r="313" ht="15.75" customHeight="1">
      <c r="C313" s="20"/>
      <c r="D313" s="20"/>
      <c r="E313" s="20"/>
      <c r="F313" s="21"/>
      <c r="G313" s="21"/>
    </row>
    <row r="314" ht="15.75" customHeight="1">
      <c r="C314" s="20"/>
      <c r="D314" s="20"/>
      <c r="E314" s="20"/>
      <c r="F314" s="21"/>
      <c r="G314" s="21"/>
    </row>
    <row r="315" ht="15.75" customHeight="1">
      <c r="C315" s="20"/>
      <c r="D315" s="20"/>
      <c r="E315" s="20"/>
      <c r="F315" s="21"/>
      <c r="G315" s="21"/>
    </row>
    <row r="316" ht="15.75" customHeight="1">
      <c r="C316" s="20"/>
      <c r="D316" s="20"/>
      <c r="E316" s="20"/>
      <c r="F316" s="21"/>
      <c r="G316" s="21"/>
    </row>
    <row r="317" ht="15.75" customHeight="1">
      <c r="C317" s="20"/>
      <c r="D317" s="20"/>
      <c r="E317" s="20"/>
      <c r="F317" s="21"/>
      <c r="G317" s="21"/>
    </row>
    <row r="318" ht="15.75" customHeight="1">
      <c r="C318" s="20"/>
      <c r="D318" s="20"/>
      <c r="E318" s="20"/>
      <c r="F318" s="21"/>
      <c r="G318" s="21"/>
    </row>
    <row r="319" ht="15.75" customHeight="1">
      <c r="C319" s="20"/>
      <c r="D319" s="20"/>
      <c r="E319" s="20"/>
      <c r="F319" s="21"/>
      <c r="G319" s="21"/>
    </row>
    <row r="320" ht="15.75" customHeight="1">
      <c r="C320" s="20"/>
      <c r="D320" s="20"/>
      <c r="E320" s="20"/>
      <c r="F320" s="21"/>
      <c r="G320" s="21"/>
    </row>
    <row r="321" ht="15.75" customHeight="1">
      <c r="C321" s="20"/>
      <c r="D321" s="20"/>
      <c r="E321" s="20"/>
      <c r="F321" s="21"/>
      <c r="G321" s="21"/>
    </row>
    <row r="322" ht="15.75" customHeight="1">
      <c r="C322" s="20"/>
      <c r="D322" s="20"/>
      <c r="E322" s="20"/>
      <c r="F322" s="21"/>
      <c r="G322" s="21"/>
    </row>
    <row r="323" ht="15.75" customHeight="1">
      <c r="C323" s="20"/>
      <c r="D323" s="20"/>
      <c r="E323" s="20"/>
      <c r="F323" s="21"/>
      <c r="G323" s="21"/>
    </row>
    <row r="324" ht="15.75" customHeight="1">
      <c r="C324" s="20"/>
      <c r="D324" s="20"/>
      <c r="E324" s="20"/>
      <c r="F324" s="21"/>
      <c r="G324" s="21"/>
    </row>
    <row r="325" ht="15.75" customHeight="1">
      <c r="C325" s="20"/>
      <c r="D325" s="20"/>
      <c r="E325" s="20"/>
      <c r="F325" s="21"/>
      <c r="G325" s="21"/>
    </row>
    <row r="326" ht="15.75" customHeight="1">
      <c r="C326" s="20"/>
      <c r="D326" s="20"/>
      <c r="E326" s="20"/>
      <c r="F326" s="21"/>
      <c r="G326" s="21"/>
    </row>
    <row r="327" ht="15.75" customHeight="1">
      <c r="C327" s="20"/>
      <c r="D327" s="20"/>
      <c r="E327" s="20"/>
      <c r="F327" s="21"/>
      <c r="G327" s="21"/>
    </row>
    <row r="328" ht="15.75" customHeight="1">
      <c r="C328" s="20"/>
      <c r="D328" s="20"/>
      <c r="E328" s="20"/>
      <c r="F328" s="21"/>
      <c r="G328" s="21"/>
    </row>
    <row r="329" ht="15.75" customHeight="1">
      <c r="C329" s="20"/>
      <c r="D329" s="20"/>
      <c r="E329" s="20"/>
      <c r="F329" s="21"/>
      <c r="G329" s="21"/>
    </row>
    <row r="330" ht="15.75" customHeight="1">
      <c r="C330" s="20"/>
      <c r="D330" s="20"/>
      <c r="E330" s="20"/>
      <c r="F330" s="21"/>
      <c r="G330" s="21"/>
    </row>
    <row r="331" ht="15.75" customHeight="1">
      <c r="C331" s="20"/>
      <c r="D331" s="20"/>
      <c r="E331" s="20"/>
      <c r="F331" s="21"/>
      <c r="G331" s="21"/>
    </row>
    <row r="332" ht="15.75" customHeight="1">
      <c r="C332" s="20"/>
      <c r="D332" s="20"/>
      <c r="E332" s="20"/>
      <c r="F332" s="21"/>
      <c r="G332" s="21"/>
    </row>
    <row r="333" ht="15.75" customHeight="1">
      <c r="C333" s="20"/>
      <c r="D333" s="20"/>
      <c r="E333" s="20"/>
      <c r="F333" s="21"/>
      <c r="G333" s="21"/>
    </row>
    <row r="334" ht="15.75" customHeight="1">
      <c r="C334" s="20"/>
      <c r="D334" s="20"/>
      <c r="E334" s="20"/>
      <c r="F334" s="21"/>
      <c r="G334" s="21"/>
    </row>
    <row r="335" ht="15.75" customHeight="1">
      <c r="C335" s="20"/>
      <c r="D335" s="20"/>
      <c r="E335" s="20"/>
      <c r="F335" s="21"/>
      <c r="G335" s="21"/>
    </row>
    <row r="336" ht="15.75" customHeight="1">
      <c r="C336" s="20"/>
      <c r="D336" s="20"/>
      <c r="E336" s="20"/>
      <c r="F336" s="21"/>
      <c r="G336" s="21"/>
    </row>
    <row r="337" ht="15.75" customHeight="1">
      <c r="C337" s="20"/>
      <c r="D337" s="20"/>
      <c r="E337" s="20"/>
      <c r="F337" s="21"/>
      <c r="G337" s="21"/>
    </row>
    <row r="338" ht="15.75" customHeight="1">
      <c r="C338" s="20"/>
      <c r="D338" s="20"/>
      <c r="E338" s="20"/>
      <c r="F338" s="21"/>
      <c r="G338" s="21"/>
    </row>
    <row r="339" ht="15.75" customHeight="1">
      <c r="C339" s="20"/>
      <c r="D339" s="20"/>
      <c r="E339" s="20"/>
      <c r="F339" s="21"/>
      <c r="G339" s="21"/>
    </row>
    <row r="340" ht="15.75" customHeight="1">
      <c r="C340" s="20"/>
      <c r="D340" s="20"/>
      <c r="E340" s="20"/>
      <c r="F340" s="21"/>
      <c r="G340" s="21"/>
    </row>
    <row r="341" ht="15.75" customHeight="1">
      <c r="C341" s="20"/>
      <c r="D341" s="20"/>
      <c r="E341" s="20"/>
      <c r="F341" s="21"/>
      <c r="G341" s="21"/>
    </row>
    <row r="342" ht="15.75" customHeight="1">
      <c r="C342" s="20"/>
      <c r="D342" s="20"/>
      <c r="E342" s="20"/>
      <c r="F342" s="21"/>
      <c r="G342" s="21"/>
    </row>
    <row r="343" ht="15.75" customHeight="1">
      <c r="C343" s="20"/>
      <c r="D343" s="20"/>
      <c r="E343" s="20"/>
      <c r="F343" s="21"/>
      <c r="G343" s="21"/>
    </row>
    <row r="344" ht="15.75" customHeight="1">
      <c r="C344" s="20"/>
      <c r="D344" s="20"/>
      <c r="E344" s="20"/>
      <c r="F344" s="21"/>
      <c r="G344" s="21"/>
    </row>
    <row r="345" ht="15.75" customHeight="1">
      <c r="C345" s="20"/>
      <c r="D345" s="20"/>
      <c r="E345" s="20"/>
      <c r="F345" s="21"/>
      <c r="G345" s="21"/>
    </row>
    <row r="346" ht="15.75" customHeight="1">
      <c r="C346" s="20"/>
      <c r="D346" s="20"/>
      <c r="E346" s="20"/>
      <c r="F346" s="21"/>
      <c r="G346" s="21"/>
    </row>
    <row r="347" ht="15.75" customHeight="1">
      <c r="C347" s="20"/>
      <c r="D347" s="20"/>
      <c r="E347" s="20"/>
      <c r="F347" s="21"/>
      <c r="G347" s="21"/>
    </row>
    <row r="348" ht="15.75" customHeight="1">
      <c r="C348" s="20"/>
      <c r="D348" s="20"/>
      <c r="E348" s="20"/>
      <c r="F348" s="21"/>
      <c r="G348" s="21"/>
    </row>
    <row r="349" ht="15.75" customHeight="1">
      <c r="C349" s="20"/>
      <c r="D349" s="20"/>
      <c r="E349" s="20"/>
      <c r="F349" s="21"/>
      <c r="G349" s="21"/>
    </row>
    <row r="350" ht="15.75" customHeight="1">
      <c r="C350" s="20"/>
      <c r="D350" s="20"/>
      <c r="E350" s="20"/>
      <c r="F350" s="21"/>
      <c r="G350" s="21"/>
    </row>
    <row r="351" ht="15.75" customHeight="1">
      <c r="C351" s="20"/>
      <c r="D351" s="20"/>
      <c r="E351" s="20"/>
      <c r="F351" s="21"/>
      <c r="G351" s="21"/>
    </row>
    <row r="352" ht="15.75" customHeight="1">
      <c r="C352" s="20"/>
      <c r="D352" s="20"/>
      <c r="E352" s="20"/>
      <c r="F352" s="21"/>
      <c r="G352" s="21"/>
    </row>
    <row r="353" ht="15.75" customHeight="1">
      <c r="C353" s="20"/>
      <c r="D353" s="20"/>
      <c r="E353" s="20"/>
      <c r="F353" s="21"/>
      <c r="G353" s="21"/>
    </row>
    <row r="354" ht="15.75" customHeight="1">
      <c r="C354" s="20"/>
      <c r="D354" s="20"/>
      <c r="E354" s="20"/>
      <c r="F354" s="21"/>
      <c r="G354" s="21"/>
    </row>
    <row r="355" ht="15.75" customHeight="1">
      <c r="C355" s="20"/>
      <c r="D355" s="20"/>
      <c r="E355" s="20"/>
      <c r="F355" s="21"/>
      <c r="G355" s="21"/>
    </row>
    <row r="356" ht="15.75" customHeight="1">
      <c r="C356" s="20"/>
      <c r="D356" s="20"/>
      <c r="E356" s="20"/>
      <c r="F356" s="21"/>
      <c r="G356" s="21"/>
    </row>
    <row r="357" ht="15.75" customHeight="1">
      <c r="C357" s="20"/>
      <c r="D357" s="20"/>
      <c r="E357" s="20"/>
      <c r="F357" s="21"/>
      <c r="G357" s="21"/>
    </row>
    <row r="358" ht="15.75" customHeight="1">
      <c r="C358" s="20"/>
      <c r="D358" s="20"/>
      <c r="E358" s="20"/>
      <c r="F358" s="21"/>
      <c r="G358" s="21"/>
    </row>
    <row r="359" ht="15.75" customHeight="1">
      <c r="C359" s="20"/>
      <c r="D359" s="20"/>
      <c r="E359" s="20"/>
      <c r="F359" s="21"/>
      <c r="G359" s="21"/>
    </row>
    <row r="360" ht="15.75" customHeight="1">
      <c r="C360" s="20"/>
      <c r="D360" s="20"/>
      <c r="E360" s="20"/>
      <c r="F360" s="21"/>
      <c r="G360" s="21"/>
    </row>
    <row r="361" ht="15.75" customHeight="1">
      <c r="C361" s="20"/>
      <c r="D361" s="20"/>
      <c r="E361" s="20"/>
      <c r="F361" s="21"/>
      <c r="G361" s="21"/>
    </row>
    <row r="362" ht="15.75" customHeight="1">
      <c r="C362" s="20"/>
      <c r="D362" s="20"/>
      <c r="E362" s="20"/>
      <c r="F362" s="21"/>
      <c r="G362" s="21"/>
    </row>
    <row r="363" ht="15.75" customHeight="1">
      <c r="C363" s="20"/>
      <c r="D363" s="20"/>
      <c r="E363" s="20"/>
      <c r="F363" s="21"/>
      <c r="G363" s="21"/>
    </row>
    <row r="364" ht="15.75" customHeight="1">
      <c r="C364" s="20"/>
      <c r="D364" s="20"/>
      <c r="E364" s="20"/>
      <c r="F364" s="21"/>
      <c r="G364" s="21"/>
    </row>
    <row r="365" ht="15.75" customHeight="1">
      <c r="C365" s="20"/>
      <c r="D365" s="20"/>
      <c r="E365" s="20"/>
      <c r="F365" s="21"/>
      <c r="G365" s="21"/>
    </row>
    <row r="366" ht="15.75" customHeight="1">
      <c r="C366" s="20"/>
      <c r="D366" s="20"/>
      <c r="E366" s="20"/>
      <c r="F366" s="21"/>
      <c r="G366" s="21"/>
    </row>
    <row r="367" ht="15.75" customHeight="1">
      <c r="C367" s="20"/>
      <c r="D367" s="20"/>
      <c r="E367" s="20"/>
      <c r="F367" s="21"/>
      <c r="G367" s="21"/>
    </row>
    <row r="368" ht="15.75" customHeight="1">
      <c r="C368" s="20"/>
      <c r="D368" s="20"/>
      <c r="E368" s="20"/>
      <c r="F368" s="21"/>
      <c r="G368" s="21"/>
    </row>
    <row r="369" ht="15.75" customHeight="1">
      <c r="C369" s="20"/>
      <c r="D369" s="20"/>
      <c r="E369" s="20"/>
      <c r="F369" s="21"/>
      <c r="G369" s="21"/>
    </row>
    <row r="370" ht="15.75" customHeight="1">
      <c r="C370" s="20"/>
      <c r="D370" s="20"/>
      <c r="E370" s="20"/>
      <c r="F370" s="21"/>
      <c r="G370" s="21"/>
    </row>
    <row r="371" ht="15.75" customHeight="1">
      <c r="C371" s="20"/>
      <c r="D371" s="20"/>
      <c r="E371" s="20"/>
      <c r="F371" s="21"/>
      <c r="G371" s="21"/>
    </row>
    <row r="372" ht="15.75" customHeight="1">
      <c r="C372" s="20"/>
      <c r="D372" s="20"/>
      <c r="E372" s="20"/>
      <c r="F372" s="21"/>
      <c r="G372" s="21"/>
    </row>
    <row r="373" ht="15.75" customHeight="1">
      <c r="C373" s="20"/>
      <c r="D373" s="20"/>
      <c r="E373" s="20"/>
      <c r="F373" s="21"/>
      <c r="G373" s="21"/>
    </row>
    <row r="374" ht="15.75" customHeight="1">
      <c r="C374" s="20"/>
      <c r="D374" s="20"/>
      <c r="E374" s="20"/>
      <c r="F374" s="21"/>
      <c r="G374" s="21"/>
    </row>
    <row r="375" ht="15.75" customHeight="1">
      <c r="C375" s="20"/>
      <c r="D375" s="20"/>
      <c r="E375" s="20"/>
      <c r="F375" s="21"/>
      <c r="G375" s="21"/>
    </row>
    <row r="376" ht="15.75" customHeight="1">
      <c r="C376" s="20"/>
      <c r="D376" s="20"/>
      <c r="E376" s="20"/>
      <c r="F376" s="21"/>
      <c r="G376" s="21"/>
    </row>
    <row r="377" ht="15.75" customHeight="1">
      <c r="C377" s="20"/>
      <c r="D377" s="20"/>
      <c r="E377" s="20"/>
      <c r="F377" s="21"/>
      <c r="G377" s="21"/>
    </row>
    <row r="378" ht="15.75" customHeight="1">
      <c r="C378" s="20"/>
      <c r="D378" s="20"/>
      <c r="E378" s="20"/>
      <c r="F378" s="21"/>
      <c r="G378" s="21"/>
    </row>
    <row r="379" ht="15.75" customHeight="1">
      <c r="C379" s="20"/>
      <c r="D379" s="20"/>
      <c r="E379" s="20"/>
      <c r="F379" s="21"/>
      <c r="G379" s="21"/>
    </row>
    <row r="380" ht="15.75" customHeight="1">
      <c r="C380" s="20"/>
      <c r="D380" s="20"/>
      <c r="E380" s="20"/>
      <c r="F380" s="21"/>
      <c r="G380" s="21"/>
    </row>
    <row r="381" ht="15.75" customHeight="1">
      <c r="C381" s="20"/>
      <c r="D381" s="20"/>
      <c r="E381" s="20"/>
      <c r="F381" s="21"/>
      <c r="G381" s="21"/>
    </row>
    <row r="382" ht="15.75" customHeight="1">
      <c r="C382" s="20"/>
      <c r="D382" s="20"/>
      <c r="E382" s="20"/>
      <c r="F382" s="21"/>
      <c r="G382" s="21"/>
    </row>
    <row r="383" ht="15.75" customHeight="1">
      <c r="C383" s="20"/>
      <c r="D383" s="20"/>
      <c r="E383" s="20"/>
      <c r="F383" s="21"/>
      <c r="G383" s="21"/>
    </row>
    <row r="384" ht="15.75" customHeight="1">
      <c r="C384" s="20"/>
      <c r="D384" s="20"/>
      <c r="E384" s="20"/>
      <c r="F384" s="21"/>
      <c r="G384" s="21"/>
    </row>
    <row r="385" ht="15.75" customHeight="1">
      <c r="C385" s="20"/>
      <c r="D385" s="20"/>
      <c r="E385" s="20"/>
      <c r="F385" s="21"/>
      <c r="G385" s="21"/>
    </row>
    <row r="386" ht="15.75" customHeight="1">
      <c r="C386" s="20"/>
      <c r="D386" s="20"/>
      <c r="E386" s="20"/>
      <c r="F386" s="21"/>
      <c r="G386" s="21"/>
    </row>
    <row r="387" ht="15.75" customHeight="1">
      <c r="C387" s="20"/>
      <c r="D387" s="20"/>
      <c r="E387" s="20"/>
      <c r="F387" s="21"/>
      <c r="G387" s="21"/>
    </row>
    <row r="388" ht="15.75" customHeight="1">
      <c r="C388" s="20"/>
      <c r="D388" s="20"/>
      <c r="E388" s="20"/>
      <c r="F388" s="21"/>
      <c r="G388" s="21"/>
    </row>
    <row r="389" ht="15.75" customHeight="1">
      <c r="C389" s="20"/>
      <c r="D389" s="20"/>
      <c r="E389" s="20"/>
      <c r="F389" s="21"/>
      <c r="G389" s="21"/>
    </row>
    <row r="390" ht="15.75" customHeight="1">
      <c r="C390" s="20"/>
      <c r="D390" s="20"/>
      <c r="E390" s="20"/>
      <c r="F390" s="21"/>
      <c r="G390" s="21"/>
    </row>
    <row r="391" ht="15.75" customHeight="1">
      <c r="C391" s="20"/>
      <c r="D391" s="20"/>
      <c r="E391" s="20"/>
      <c r="F391" s="21"/>
      <c r="G391" s="21"/>
    </row>
    <row r="392" ht="15.75" customHeight="1">
      <c r="C392" s="20"/>
      <c r="D392" s="20"/>
      <c r="E392" s="20"/>
      <c r="F392" s="21"/>
      <c r="G392" s="21"/>
    </row>
    <row r="393" ht="15.75" customHeight="1">
      <c r="C393" s="20"/>
      <c r="D393" s="20"/>
      <c r="E393" s="20"/>
      <c r="F393" s="21"/>
      <c r="G393" s="21"/>
    </row>
    <row r="394" ht="15.75" customHeight="1">
      <c r="C394" s="20"/>
      <c r="D394" s="20"/>
      <c r="E394" s="20"/>
      <c r="F394" s="21"/>
      <c r="G394" s="21"/>
    </row>
    <row r="395" ht="15.75" customHeight="1">
      <c r="C395" s="20"/>
      <c r="D395" s="20"/>
      <c r="E395" s="20"/>
      <c r="F395" s="21"/>
      <c r="G395" s="21"/>
    </row>
    <row r="396" ht="15.75" customHeight="1">
      <c r="C396" s="20"/>
      <c r="D396" s="20"/>
      <c r="E396" s="20"/>
      <c r="F396" s="21"/>
      <c r="G396" s="21"/>
    </row>
    <row r="397" ht="15.75" customHeight="1">
      <c r="C397" s="20"/>
      <c r="D397" s="20"/>
      <c r="E397" s="20"/>
      <c r="F397" s="21"/>
      <c r="G397" s="21"/>
    </row>
    <row r="398" ht="15.75" customHeight="1">
      <c r="C398" s="20"/>
      <c r="D398" s="20"/>
      <c r="E398" s="20"/>
      <c r="F398" s="21"/>
      <c r="G398" s="21"/>
    </row>
    <row r="399" ht="15.75" customHeight="1">
      <c r="C399" s="20"/>
      <c r="D399" s="20"/>
      <c r="E399" s="20"/>
      <c r="F399" s="21"/>
      <c r="G399" s="21"/>
    </row>
    <row r="400" ht="15.75" customHeight="1">
      <c r="C400" s="20"/>
      <c r="D400" s="20"/>
      <c r="E400" s="20"/>
      <c r="F400" s="21"/>
      <c r="G400" s="21"/>
    </row>
    <row r="401" ht="15.75" customHeight="1">
      <c r="C401" s="20"/>
      <c r="D401" s="20"/>
      <c r="E401" s="20"/>
      <c r="F401" s="21"/>
      <c r="G401" s="21"/>
    </row>
    <row r="402" ht="15.75" customHeight="1">
      <c r="C402" s="20"/>
      <c r="D402" s="20"/>
      <c r="E402" s="20"/>
      <c r="F402" s="21"/>
      <c r="G402" s="21"/>
    </row>
    <row r="403" ht="15.75" customHeight="1">
      <c r="C403" s="20"/>
      <c r="D403" s="20"/>
      <c r="E403" s="20"/>
      <c r="F403" s="21"/>
      <c r="G403" s="21"/>
    </row>
    <row r="404" ht="15.75" customHeight="1">
      <c r="C404" s="20"/>
      <c r="D404" s="20"/>
      <c r="E404" s="20"/>
      <c r="F404" s="21"/>
      <c r="G404" s="21"/>
    </row>
    <row r="405" ht="15.75" customHeight="1">
      <c r="C405" s="20"/>
      <c r="D405" s="20"/>
      <c r="E405" s="20"/>
      <c r="F405" s="21"/>
      <c r="G405" s="21"/>
    </row>
    <row r="406" ht="15.75" customHeight="1">
      <c r="C406" s="20"/>
      <c r="D406" s="20"/>
      <c r="E406" s="20"/>
      <c r="F406" s="21"/>
      <c r="G406" s="21"/>
    </row>
    <row r="407" ht="15.75" customHeight="1">
      <c r="C407" s="20"/>
      <c r="D407" s="20"/>
      <c r="E407" s="20"/>
      <c r="F407" s="21"/>
      <c r="G407" s="21"/>
    </row>
    <row r="408" ht="15.75" customHeight="1">
      <c r="C408" s="20"/>
      <c r="D408" s="20"/>
      <c r="E408" s="20"/>
      <c r="F408" s="21"/>
      <c r="G408" s="21"/>
    </row>
    <row r="409" ht="15.75" customHeight="1">
      <c r="C409" s="20"/>
      <c r="D409" s="20"/>
      <c r="E409" s="20"/>
      <c r="F409" s="21"/>
      <c r="G409" s="21"/>
    </row>
    <row r="410" ht="15.75" customHeight="1">
      <c r="C410" s="20"/>
      <c r="D410" s="20"/>
      <c r="E410" s="20"/>
      <c r="F410" s="21"/>
      <c r="G410" s="21"/>
    </row>
    <row r="411" ht="15.75" customHeight="1">
      <c r="C411" s="20"/>
      <c r="D411" s="20"/>
      <c r="E411" s="20"/>
      <c r="F411" s="21"/>
      <c r="G411" s="21"/>
    </row>
    <row r="412" ht="15.75" customHeight="1">
      <c r="C412" s="20"/>
      <c r="D412" s="20"/>
      <c r="E412" s="20"/>
      <c r="F412" s="21"/>
      <c r="G412" s="21"/>
    </row>
    <row r="413" ht="15.75" customHeight="1">
      <c r="C413" s="20"/>
      <c r="D413" s="20"/>
      <c r="E413" s="20"/>
      <c r="F413" s="21"/>
      <c r="G413" s="21"/>
    </row>
    <row r="414" ht="15.75" customHeight="1">
      <c r="C414" s="20"/>
      <c r="D414" s="20"/>
      <c r="E414" s="20"/>
      <c r="F414" s="21"/>
      <c r="G414" s="21"/>
    </row>
    <row r="415" ht="15.75" customHeight="1">
      <c r="C415" s="20"/>
      <c r="D415" s="20"/>
      <c r="E415" s="20"/>
      <c r="F415" s="21"/>
      <c r="G415" s="21"/>
    </row>
    <row r="416" ht="15.75" customHeight="1">
      <c r="C416" s="20"/>
      <c r="D416" s="20"/>
      <c r="E416" s="20"/>
      <c r="F416" s="21"/>
      <c r="G416" s="21"/>
    </row>
    <row r="417" ht="15.75" customHeight="1">
      <c r="C417" s="20"/>
      <c r="D417" s="20"/>
      <c r="E417" s="20"/>
      <c r="F417" s="21"/>
      <c r="G417" s="21"/>
    </row>
    <row r="418" ht="15.75" customHeight="1">
      <c r="C418" s="20"/>
      <c r="D418" s="20"/>
      <c r="E418" s="20"/>
      <c r="F418" s="21"/>
      <c r="G418" s="21"/>
    </row>
    <row r="419" ht="15.75" customHeight="1">
      <c r="C419" s="20"/>
      <c r="D419" s="20"/>
      <c r="E419" s="20"/>
      <c r="F419" s="21"/>
      <c r="G419" s="21"/>
    </row>
    <row r="420" ht="15.75" customHeight="1">
      <c r="C420" s="20"/>
      <c r="D420" s="20"/>
      <c r="E420" s="20"/>
      <c r="F420" s="21"/>
      <c r="G420" s="21"/>
    </row>
    <row r="421" ht="15.75" customHeight="1">
      <c r="C421" s="20"/>
      <c r="D421" s="20"/>
      <c r="E421" s="20"/>
      <c r="F421" s="21"/>
      <c r="G421" s="21"/>
    </row>
    <row r="422" ht="15.75" customHeight="1">
      <c r="C422" s="20"/>
      <c r="D422" s="20"/>
      <c r="E422" s="20"/>
      <c r="F422" s="21"/>
      <c r="G422" s="21"/>
    </row>
    <row r="423" ht="15.75" customHeight="1">
      <c r="C423" s="20"/>
      <c r="D423" s="20"/>
      <c r="E423" s="20"/>
      <c r="F423" s="21"/>
      <c r="G423" s="21"/>
    </row>
    <row r="424" ht="15.75" customHeight="1">
      <c r="C424" s="20"/>
      <c r="D424" s="20"/>
      <c r="E424" s="20"/>
      <c r="F424" s="21"/>
      <c r="G424" s="21"/>
    </row>
    <row r="425" ht="15.75" customHeight="1">
      <c r="C425" s="20"/>
      <c r="D425" s="20"/>
      <c r="E425" s="20"/>
      <c r="F425" s="21"/>
      <c r="G425" s="21"/>
    </row>
    <row r="426" ht="15.75" customHeight="1">
      <c r="C426" s="20"/>
      <c r="D426" s="20"/>
      <c r="E426" s="20"/>
      <c r="F426" s="21"/>
      <c r="G426" s="21"/>
    </row>
    <row r="427" ht="15.75" customHeight="1">
      <c r="C427" s="20"/>
      <c r="D427" s="20"/>
      <c r="E427" s="20"/>
      <c r="F427" s="21"/>
      <c r="G427" s="21"/>
    </row>
    <row r="428" ht="15.75" customHeight="1">
      <c r="C428" s="20"/>
      <c r="D428" s="20"/>
      <c r="E428" s="20"/>
      <c r="F428" s="21"/>
      <c r="G428" s="21"/>
    </row>
    <row r="429" ht="15.75" customHeight="1">
      <c r="C429" s="20"/>
      <c r="D429" s="20"/>
      <c r="E429" s="20"/>
      <c r="F429" s="21"/>
      <c r="G429" s="21"/>
    </row>
    <row r="430" ht="15.75" customHeight="1">
      <c r="C430" s="20"/>
      <c r="D430" s="20"/>
      <c r="E430" s="20"/>
      <c r="F430" s="21"/>
      <c r="G430" s="21"/>
    </row>
    <row r="431" ht="15.75" customHeight="1">
      <c r="C431" s="20"/>
      <c r="D431" s="20"/>
      <c r="E431" s="20"/>
      <c r="F431" s="21"/>
      <c r="G431" s="21"/>
    </row>
    <row r="432" ht="15.75" customHeight="1">
      <c r="C432" s="20"/>
      <c r="D432" s="20"/>
      <c r="E432" s="20"/>
      <c r="F432" s="21"/>
      <c r="G432" s="21"/>
    </row>
    <row r="433" ht="15.75" customHeight="1">
      <c r="C433" s="20"/>
      <c r="D433" s="20"/>
      <c r="E433" s="20"/>
      <c r="F433" s="21"/>
      <c r="G433" s="21"/>
    </row>
    <row r="434" ht="15.75" customHeight="1">
      <c r="C434" s="20"/>
      <c r="D434" s="20"/>
      <c r="E434" s="20"/>
      <c r="F434" s="21"/>
      <c r="G434" s="21"/>
    </row>
    <row r="435" ht="15.75" customHeight="1">
      <c r="C435" s="20"/>
      <c r="D435" s="20"/>
      <c r="E435" s="20"/>
      <c r="F435" s="21"/>
      <c r="G435" s="21"/>
    </row>
    <row r="436" ht="15.75" customHeight="1">
      <c r="C436" s="20"/>
      <c r="D436" s="20"/>
      <c r="E436" s="20"/>
      <c r="F436" s="21"/>
      <c r="G436" s="21"/>
    </row>
    <row r="437" ht="15.75" customHeight="1">
      <c r="C437" s="20"/>
      <c r="D437" s="20"/>
      <c r="E437" s="20"/>
      <c r="F437" s="21"/>
      <c r="G437" s="21"/>
    </row>
    <row r="438" ht="15.75" customHeight="1">
      <c r="C438" s="20"/>
      <c r="D438" s="20"/>
      <c r="E438" s="20"/>
      <c r="F438" s="21"/>
      <c r="G438" s="21"/>
    </row>
    <row r="439" ht="15.75" customHeight="1">
      <c r="C439" s="20"/>
      <c r="D439" s="20"/>
      <c r="E439" s="20"/>
      <c r="F439" s="21"/>
      <c r="G439" s="21"/>
    </row>
    <row r="440" ht="15.75" customHeight="1">
      <c r="C440" s="20"/>
      <c r="D440" s="20"/>
      <c r="E440" s="20"/>
      <c r="F440" s="21"/>
      <c r="G440" s="21"/>
    </row>
    <row r="441" ht="15.75" customHeight="1">
      <c r="C441" s="20"/>
      <c r="D441" s="20"/>
      <c r="E441" s="20"/>
      <c r="F441" s="21"/>
      <c r="G441" s="21"/>
    </row>
    <row r="442" ht="15.75" customHeight="1">
      <c r="C442" s="20"/>
      <c r="D442" s="20"/>
      <c r="E442" s="20"/>
      <c r="F442" s="21"/>
      <c r="G442" s="21"/>
    </row>
    <row r="443" ht="15.75" customHeight="1">
      <c r="C443" s="20"/>
      <c r="D443" s="20"/>
      <c r="E443" s="20"/>
      <c r="F443" s="21"/>
      <c r="G443" s="21"/>
    </row>
    <row r="444" ht="15.75" customHeight="1">
      <c r="C444" s="20"/>
      <c r="D444" s="20"/>
      <c r="E444" s="20"/>
      <c r="F444" s="21"/>
      <c r="G444" s="21"/>
    </row>
    <row r="445" ht="15.75" customHeight="1">
      <c r="C445" s="20"/>
      <c r="D445" s="20"/>
      <c r="E445" s="20"/>
      <c r="F445" s="21"/>
      <c r="G445" s="21"/>
    </row>
    <row r="446" ht="15.75" customHeight="1">
      <c r="C446" s="20"/>
      <c r="D446" s="20"/>
      <c r="E446" s="20"/>
      <c r="F446" s="21"/>
      <c r="G446" s="21"/>
    </row>
    <row r="447" ht="15.75" customHeight="1">
      <c r="C447" s="20"/>
      <c r="D447" s="20"/>
      <c r="E447" s="20"/>
      <c r="F447" s="21"/>
      <c r="G447" s="21"/>
    </row>
    <row r="448" ht="15.75" customHeight="1">
      <c r="C448" s="20"/>
      <c r="D448" s="20"/>
      <c r="E448" s="20"/>
      <c r="F448" s="21"/>
      <c r="G448" s="21"/>
    </row>
    <row r="449" ht="15.75" customHeight="1">
      <c r="C449" s="20"/>
      <c r="D449" s="20"/>
      <c r="E449" s="20"/>
      <c r="F449" s="21"/>
      <c r="G449" s="21"/>
    </row>
    <row r="450" ht="15.75" customHeight="1">
      <c r="C450" s="20"/>
      <c r="D450" s="20"/>
      <c r="E450" s="20"/>
      <c r="F450" s="21"/>
      <c r="G450" s="21"/>
    </row>
    <row r="451" ht="15.75" customHeight="1">
      <c r="C451" s="20"/>
      <c r="D451" s="20"/>
      <c r="E451" s="20"/>
      <c r="F451" s="21"/>
      <c r="G451" s="21"/>
    </row>
    <row r="452" ht="15.75" customHeight="1">
      <c r="C452" s="20"/>
      <c r="D452" s="20"/>
      <c r="E452" s="20"/>
      <c r="F452" s="21"/>
      <c r="G452" s="21"/>
    </row>
    <row r="453" ht="15.75" customHeight="1">
      <c r="C453" s="20"/>
      <c r="D453" s="20"/>
      <c r="E453" s="20"/>
      <c r="F453" s="21"/>
      <c r="G453" s="21"/>
    </row>
    <row r="454" ht="15.75" customHeight="1">
      <c r="C454" s="20"/>
      <c r="D454" s="20"/>
      <c r="E454" s="20"/>
      <c r="F454" s="21"/>
      <c r="G454" s="21"/>
    </row>
    <row r="455" ht="15.75" customHeight="1">
      <c r="C455" s="20"/>
      <c r="D455" s="20"/>
      <c r="E455" s="20"/>
      <c r="F455" s="21"/>
      <c r="G455" s="21"/>
    </row>
    <row r="456" ht="15.75" customHeight="1">
      <c r="C456" s="20"/>
      <c r="D456" s="20"/>
      <c r="E456" s="20"/>
      <c r="F456" s="21"/>
      <c r="G456" s="21"/>
    </row>
    <row r="457" ht="15.75" customHeight="1">
      <c r="C457" s="20"/>
      <c r="D457" s="20"/>
      <c r="E457" s="20"/>
      <c r="F457" s="21"/>
      <c r="G457" s="21"/>
    </row>
    <row r="458" ht="15.75" customHeight="1">
      <c r="C458" s="20"/>
      <c r="D458" s="20"/>
      <c r="E458" s="20"/>
      <c r="F458" s="21"/>
      <c r="G458" s="21"/>
    </row>
    <row r="459" ht="15.75" customHeight="1">
      <c r="C459" s="20"/>
      <c r="D459" s="20"/>
      <c r="E459" s="20"/>
      <c r="F459" s="21"/>
      <c r="G459" s="21"/>
    </row>
    <row r="460" ht="15.75" customHeight="1">
      <c r="C460" s="20"/>
      <c r="D460" s="20"/>
      <c r="E460" s="20"/>
      <c r="F460" s="21"/>
      <c r="G460" s="21"/>
    </row>
    <row r="461" ht="15.75" customHeight="1">
      <c r="C461" s="20"/>
      <c r="D461" s="20"/>
      <c r="E461" s="20"/>
      <c r="F461" s="21"/>
      <c r="G461" s="21"/>
    </row>
    <row r="462" ht="15.75" customHeight="1">
      <c r="C462" s="20"/>
      <c r="D462" s="20"/>
      <c r="E462" s="20"/>
      <c r="F462" s="21"/>
      <c r="G462" s="21"/>
    </row>
    <row r="463" ht="15.75" customHeight="1">
      <c r="C463" s="20"/>
      <c r="D463" s="20"/>
      <c r="E463" s="20"/>
      <c r="F463" s="21"/>
      <c r="G463" s="21"/>
    </row>
    <row r="464" ht="15.75" customHeight="1">
      <c r="C464" s="20"/>
      <c r="D464" s="20"/>
      <c r="E464" s="20"/>
      <c r="F464" s="21"/>
      <c r="G464" s="21"/>
    </row>
    <row r="465" ht="15.75" customHeight="1">
      <c r="C465" s="20"/>
      <c r="D465" s="20"/>
      <c r="E465" s="20"/>
      <c r="F465" s="21"/>
      <c r="G465" s="21"/>
    </row>
    <row r="466" ht="15.75" customHeight="1">
      <c r="C466" s="20"/>
      <c r="D466" s="20"/>
      <c r="E466" s="20"/>
      <c r="F466" s="21"/>
      <c r="G466" s="21"/>
    </row>
    <row r="467" ht="15.75" customHeight="1">
      <c r="C467" s="20"/>
      <c r="D467" s="20"/>
      <c r="E467" s="20"/>
      <c r="F467" s="21"/>
      <c r="G467" s="21"/>
    </row>
    <row r="468" ht="15.75" customHeight="1">
      <c r="C468" s="20"/>
      <c r="D468" s="20"/>
      <c r="E468" s="20"/>
      <c r="F468" s="21"/>
      <c r="G468" s="21"/>
    </row>
    <row r="469" ht="15.75" customHeight="1">
      <c r="C469" s="20"/>
      <c r="D469" s="20"/>
      <c r="E469" s="20"/>
      <c r="F469" s="21"/>
      <c r="G469" s="21"/>
    </row>
    <row r="470" ht="15.75" customHeight="1">
      <c r="C470" s="20"/>
      <c r="D470" s="20"/>
      <c r="E470" s="20"/>
      <c r="F470" s="21"/>
      <c r="G470" s="21"/>
    </row>
    <row r="471" ht="15.75" customHeight="1">
      <c r="C471" s="20"/>
      <c r="D471" s="20"/>
      <c r="E471" s="20"/>
      <c r="F471" s="21"/>
      <c r="G471" s="21"/>
    </row>
    <row r="472" ht="15.75" customHeight="1">
      <c r="C472" s="20"/>
      <c r="D472" s="20"/>
      <c r="E472" s="20"/>
      <c r="F472" s="21"/>
      <c r="G472" s="21"/>
    </row>
    <row r="473" ht="15.75" customHeight="1">
      <c r="C473" s="20"/>
      <c r="D473" s="20"/>
      <c r="E473" s="20"/>
      <c r="F473" s="21"/>
      <c r="G473" s="21"/>
    </row>
    <row r="474" ht="15.75" customHeight="1">
      <c r="C474" s="20"/>
      <c r="D474" s="20"/>
      <c r="E474" s="20"/>
      <c r="F474" s="21"/>
      <c r="G474" s="21"/>
    </row>
    <row r="475" ht="15.75" customHeight="1">
      <c r="C475" s="20"/>
      <c r="D475" s="20"/>
      <c r="E475" s="20"/>
      <c r="F475" s="21"/>
      <c r="G475" s="21"/>
    </row>
    <row r="476" ht="15.75" customHeight="1">
      <c r="C476" s="20"/>
      <c r="D476" s="20"/>
      <c r="E476" s="20"/>
      <c r="F476" s="21"/>
      <c r="G476" s="21"/>
    </row>
    <row r="477" ht="15.75" customHeight="1">
      <c r="C477" s="20"/>
      <c r="D477" s="20"/>
      <c r="E477" s="20"/>
      <c r="F477" s="21"/>
      <c r="G477" s="21"/>
    </row>
    <row r="478" ht="15.75" customHeight="1">
      <c r="C478" s="20"/>
      <c r="D478" s="20"/>
      <c r="E478" s="20"/>
      <c r="F478" s="21"/>
      <c r="G478" s="21"/>
    </row>
    <row r="479" ht="15.75" customHeight="1">
      <c r="C479" s="20"/>
      <c r="D479" s="20"/>
      <c r="E479" s="20"/>
      <c r="F479" s="21"/>
      <c r="G479" s="21"/>
    </row>
    <row r="480" ht="15.75" customHeight="1">
      <c r="C480" s="20"/>
      <c r="D480" s="20"/>
      <c r="E480" s="20"/>
      <c r="F480" s="21"/>
      <c r="G480" s="21"/>
    </row>
    <row r="481" ht="15.75" customHeight="1">
      <c r="C481" s="20"/>
      <c r="D481" s="20"/>
      <c r="E481" s="20"/>
      <c r="F481" s="21"/>
      <c r="G481" s="21"/>
    </row>
    <row r="482" ht="15.75" customHeight="1">
      <c r="C482" s="20"/>
      <c r="D482" s="20"/>
      <c r="E482" s="20"/>
      <c r="F482" s="21"/>
      <c r="G482" s="21"/>
    </row>
    <row r="483" ht="15.75" customHeight="1">
      <c r="C483" s="20"/>
      <c r="D483" s="20"/>
      <c r="E483" s="20"/>
      <c r="F483" s="21"/>
      <c r="G483" s="21"/>
    </row>
    <row r="484" ht="15.75" customHeight="1">
      <c r="C484" s="20"/>
      <c r="D484" s="20"/>
      <c r="E484" s="20"/>
      <c r="F484" s="21"/>
      <c r="G484" s="21"/>
    </row>
    <row r="485" ht="15.75" customHeight="1">
      <c r="C485" s="20"/>
      <c r="D485" s="20"/>
      <c r="E485" s="20"/>
      <c r="F485" s="21"/>
      <c r="G485" s="21"/>
    </row>
    <row r="486" ht="15.75" customHeight="1">
      <c r="C486" s="20"/>
      <c r="D486" s="20"/>
      <c r="E486" s="20"/>
      <c r="F486" s="21"/>
      <c r="G486" s="21"/>
    </row>
    <row r="487" ht="15.75" customHeight="1">
      <c r="C487" s="20"/>
      <c r="D487" s="20"/>
      <c r="E487" s="20"/>
      <c r="F487" s="21"/>
      <c r="G487" s="21"/>
    </row>
    <row r="488" ht="15.75" customHeight="1">
      <c r="C488" s="20"/>
      <c r="D488" s="20"/>
      <c r="E488" s="20"/>
      <c r="F488" s="21"/>
      <c r="G488" s="21"/>
    </row>
    <row r="489" ht="15.75" customHeight="1">
      <c r="C489" s="20"/>
      <c r="D489" s="20"/>
      <c r="E489" s="20"/>
      <c r="F489" s="21"/>
      <c r="G489" s="21"/>
    </row>
    <row r="490" ht="15.75" customHeight="1">
      <c r="C490" s="20"/>
      <c r="D490" s="20"/>
      <c r="E490" s="20"/>
      <c r="F490" s="21"/>
      <c r="G490" s="21"/>
    </row>
    <row r="491" ht="15.75" customHeight="1">
      <c r="C491" s="20"/>
      <c r="D491" s="20"/>
      <c r="E491" s="20"/>
      <c r="F491" s="21"/>
      <c r="G491" s="21"/>
    </row>
    <row r="492" ht="15.75" customHeight="1">
      <c r="C492" s="20"/>
      <c r="D492" s="20"/>
      <c r="E492" s="20"/>
      <c r="F492" s="21"/>
      <c r="G492" s="21"/>
    </row>
    <row r="493" ht="15.75" customHeight="1">
      <c r="C493" s="20"/>
      <c r="D493" s="20"/>
      <c r="E493" s="20"/>
      <c r="F493" s="21"/>
      <c r="G493" s="21"/>
    </row>
    <row r="494" ht="15.75" customHeight="1">
      <c r="C494" s="20"/>
      <c r="D494" s="20"/>
      <c r="E494" s="20"/>
      <c r="F494" s="21"/>
      <c r="G494" s="21"/>
    </row>
    <row r="495" ht="15.75" customHeight="1">
      <c r="C495" s="20"/>
      <c r="D495" s="20"/>
      <c r="E495" s="20"/>
      <c r="F495" s="21"/>
      <c r="G495" s="21"/>
    </row>
    <row r="496" ht="15.75" customHeight="1">
      <c r="C496" s="20"/>
      <c r="D496" s="20"/>
      <c r="E496" s="20"/>
      <c r="F496" s="21"/>
      <c r="G496" s="21"/>
    </row>
    <row r="497" ht="15.75" customHeight="1">
      <c r="C497" s="20"/>
      <c r="D497" s="20"/>
      <c r="E497" s="20"/>
      <c r="F497" s="21"/>
      <c r="G497" s="21"/>
    </row>
    <row r="498" ht="15.75" customHeight="1">
      <c r="C498" s="20"/>
      <c r="D498" s="20"/>
      <c r="E498" s="20"/>
      <c r="F498" s="21"/>
      <c r="G498" s="21"/>
    </row>
    <row r="499" ht="15.75" customHeight="1">
      <c r="C499" s="20"/>
      <c r="D499" s="20"/>
      <c r="E499" s="20"/>
      <c r="F499" s="21"/>
      <c r="G499" s="21"/>
    </row>
    <row r="500" ht="15.75" customHeight="1">
      <c r="C500" s="20"/>
      <c r="D500" s="20"/>
      <c r="E500" s="20"/>
      <c r="F500" s="21"/>
      <c r="G500" s="21"/>
    </row>
    <row r="501" ht="15.75" customHeight="1">
      <c r="C501" s="20"/>
      <c r="D501" s="20"/>
      <c r="E501" s="20"/>
      <c r="F501" s="21"/>
      <c r="G501" s="21"/>
    </row>
    <row r="502" ht="15.75" customHeight="1">
      <c r="C502" s="20"/>
      <c r="D502" s="20"/>
      <c r="E502" s="20"/>
      <c r="F502" s="21"/>
      <c r="G502" s="21"/>
    </row>
    <row r="503" ht="15.75" customHeight="1">
      <c r="C503" s="20"/>
      <c r="D503" s="20"/>
      <c r="E503" s="20"/>
      <c r="F503" s="21"/>
      <c r="G503" s="21"/>
    </row>
    <row r="504" ht="15.75" customHeight="1">
      <c r="C504" s="20"/>
      <c r="D504" s="20"/>
      <c r="E504" s="20"/>
      <c r="F504" s="21"/>
      <c r="G504" s="21"/>
    </row>
    <row r="505" ht="15.75" customHeight="1">
      <c r="C505" s="20"/>
      <c r="D505" s="20"/>
      <c r="E505" s="20"/>
      <c r="F505" s="21"/>
      <c r="G505" s="21"/>
    </row>
    <row r="506" ht="15.75" customHeight="1">
      <c r="C506" s="20"/>
      <c r="D506" s="20"/>
      <c r="E506" s="20"/>
      <c r="F506" s="21"/>
      <c r="G506" s="21"/>
    </row>
    <row r="507" ht="15.75" customHeight="1">
      <c r="C507" s="20"/>
      <c r="D507" s="20"/>
      <c r="E507" s="20"/>
      <c r="F507" s="21"/>
      <c r="G507" s="21"/>
    </row>
    <row r="508" ht="15.75" customHeight="1">
      <c r="C508" s="20"/>
      <c r="D508" s="20"/>
      <c r="E508" s="20"/>
      <c r="F508" s="21"/>
      <c r="G508" s="21"/>
    </row>
    <row r="509" ht="15.75" customHeight="1">
      <c r="C509" s="20"/>
      <c r="D509" s="20"/>
      <c r="E509" s="20"/>
      <c r="F509" s="21"/>
      <c r="G509" s="21"/>
    </row>
    <row r="510" ht="15.75" customHeight="1">
      <c r="C510" s="20"/>
      <c r="D510" s="20"/>
      <c r="E510" s="20"/>
      <c r="F510" s="21"/>
      <c r="G510" s="21"/>
    </row>
    <row r="511" ht="15.75" customHeight="1">
      <c r="C511" s="20"/>
      <c r="D511" s="20"/>
      <c r="E511" s="20"/>
      <c r="F511" s="21"/>
      <c r="G511" s="21"/>
    </row>
    <row r="512" ht="15.75" customHeight="1">
      <c r="C512" s="20"/>
      <c r="D512" s="20"/>
      <c r="E512" s="20"/>
      <c r="F512" s="21"/>
      <c r="G512" s="21"/>
    </row>
    <row r="513" ht="15.75" customHeight="1">
      <c r="C513" s="20"/>
      <c r="D513" s="20"/>
      <c r="E513" s="20"/>
      <c r="F513" s="21"/>
      <c r="G513" s="21"/>
    </row>
    <row r="514" ht="15.75" customHeight="1">
      <c r="C514" s="20"/>
      <c r="D514" s="20"/>
      <c r="E514" s="20"/>
      <c r="F514" s="21"/>
      <c r="G514" s="21"/>
    </row>
    <row r="515" ht="15.75" customHeight="1">
      <c r="C515" s="20"/>
      <c r="D515" s="20"/>
      <c r="E515" s="20"/>
      <c r="F515" s="21"/>
      <c r="G515" s="21"/>
    </row>
    <row r="516" ht="15.75" customHeight="1">
      <c r="C516" s="20"/>
      <c r="D516" s="20"/>
      <c r="E516" s="20"/>
      <c r="F516" s="21"/>
      <c r="G516" s="21"/>
    </row>
    <row r="517" ht="15.75" customHeight="1">
      <c r="C517" s="20"/>
      <c r="D517" s="20"/>
      <c r="E517" s="20"/>
      <c r="F517" s="21"/>
      <c r="G517" s="21"/>
    </row>
    <row r="518" ht="15.75" customHeight="1">
      <c r="C518" s="20"/>
      <c r="D518" s="20"/>
      <c r="E518" s="20"/>
      <c r="F518" s="21"/>
      <c r="G518" s="21"/>
    </row>
    <row r="519" ht="15.75" customHeight="1">
      <c r="C519" s="20"/>
      <c r="D519" s="20"/>
      <c r="E519" s="20"/>
      <c r="F519" s="21"/>
      <c r="G519" s="21"/>
    </row>
    <row r="520" ht="15.75" customHeight="1">
      <c r="C520" s="20"/>
      <c r="D520" s="20"/>
      <c r="E520" s="20"/>
      <c r="F520" s="21"/>
      <c r="G520" s="21"/>
    </row>
    <row r="521" ht="15.75" customHeight="1">
      <c r="C521" s="20"/>
      <c r="D521" s="20"/>
      <c r="E521" s="20"/>
      <c r="F521" s="21"/>
      <c r="G521" s="21"/>
    </row>
    <row r="522" ht="15.75" customHeight="1">
      <c r="C522" s="20"/>
      <c r="D522" s="20"/>
      <c r="E522" s="20"/>
      <c r="F522" s="21"/>
      <c r="G522" s="21"/>
    </row>
    <row r="523" ht="15.75" customHeight="1">
      <c r="C523" s="20"/>
      <c r="D523" s="20"/>
      <c r="E523" s="20"/>
      <c r="F523" s="21"/>
      <c r="G523" s="21"/>
    </row>
    <row r="524" ht="15.75" customHeight="1">
      <c r="C524" s="20"/>
      <c r="D524" s="20"/>
      <c r="E524" s="20"/>
      <c r="F524" s="21"/>
      <c r="G524" s="21"/>
    </row>
    <row r="525" ht="15.75" customHeight="1">
      <c r="C525" s="20"/>
      <c r="D525" s="20"/>
      <c r="E525" s="20"/>
      <c r="F525" s="21"/>
      <c r="G525" s="21"/>
    </row>
    <row r="526" ht="15.75" customHeight="1">
      <c r="C526" s="20"/>
      <c r="D526" s="20"/>
      <c r="E526" s="20"/>
      <c r="F526" s="21"/>
      <c r="G526" s="21"/>
    </row>
    <row r="527" ht="15.75" customHeight="1">
      <c r="C527" s="20"/>
      <c r="D527" s="20"/>
      <c r="E527" s="20"/>
      <c r="F527" s="21"/>
      <c r="G527" s="21"/>
    </row>
    <row r="528" ht="15.75" customHeight="1">
      <c r="C528" s="20"/>
      <c r="D528" s="20"/>
      <c r="E528" s="20"/>
      <c r="F528" s="21"/>
      <c r="G528" s="21"/>
    </row>
    <row r="529" ht="15.75" customHeight="1">
      <c r="C529" s="20"/>
      <c r="D529" s="20"/>
      <c r="E529" s="20"/>
      <c r="F529" s="21"/>
      <c r="G529" s="21"/>
    </row>
    <row r="530" ht="15.75" customHeight="1">
      <c r="C530" s="20"/>
      <c r="D530" s="20"/>
      <c r="E530" s="20"/>
      <c r="F530" s="21"/>
      <c r="G530" s="21"/>
    </row>
    <row r="531" ht="15.75" customHeight="1">
      <c r="C531" s="20"/>
      <c r="D531" s="20"/>
      <c r="E531" s="20"/>
      <c r="F531" s="21"/>
      <c r="G531" s="21"/>
    </row>
    <row r="532" ht="15.75" customHeight="1">
      <c r="C532" s="20"/>
      <c r="D532" s="20"/>
      <c r="E532" s="20"/>
      <c r="F532" s="21"/>
      <c r="G532" s="21"/>
    </row>
    <row r="533" ht="15.75" customHeight="1">
      <c r="C533" s="20"/>
      <c r="D533" s="20"/>
      <c r="E533" s="20"/>
      <c r="F533" s="21"/>
      <c r="G533" s="21"/>
    </row>
    <row r="534" ht="15.75" customHeight="1">
      <c r="C534" s="20"/>
      <c r="D534" s="20"/>
      <c r="E534" s="20"/>
      <c r="F534" s="21"/>
      <c r="G534" s="21"/>
    </row>
    <row r="535" ht="15.75" customHeight="1">
      <c r="C535" s="20"/>
      <c r="D535" s="20"/>
      <c r="E535" s="20"/>
      <c r="F535" s="21"/>
      <c r="G535" s="21"/>
    </row>
    <row r="536" ht="15.75" customHeight="1">
      <c r="C536" s="20"/>
      <c r="D536" s="20"/>
      <c r="E536" s="20"/>
      <c r="F536" s="21"/>
      <c r="G536" s="21"/>
    </row>
    <row r="537" ht="15.75" customHeight="1">
      <c r="C537" s="20"/>
      <c r="D537" s="20"/>
      <c r="E537" s="20"/>
      <c r="F537" s="21"/>
      <c r="G537" s="21"/>
    </row>
    <row r="538" ht="15.75" customHeight="1">
      <c r="C538" s="20"/>
      <c r="D538" s="20"/>
      <c r="E538" s="20"/>
      <c r="F538" s="21"/>
      <c r="G538" s="21"/>
    </row>
    <row r="539" ht="15.75" customHeight="1">
      <c r="C539" s="20"/>
      <c r="D539" s="20"/>
      <c r="E539" s="20"/>
      <c r="F539" s="21"/>
      <c r="G539" s="21"/>
    </row>
    <row r="540" ht="15.75" customHeight="1">
      <c r="C540" s="20"/>
      <c r="D540" s="20"/>
      <c r="E540" s="20"/>
      <c r="F540" s="21"/>
      <c r="G540" s="21"/>
    </row>
    <row r="541" ht="15.75" customHeight="1">
      <c r="C541" s="20"/>
      <c r="D541" s="20"/>
      <c r="E541" s="20"/>
      <c r="F541" s="21"/>
      <c r="G541" s="21"/>
    </row>
    <row r="542" ht="15.75" customHeight="1">
      <c r="C542" s="20"/>
      <c r="D542" s="20"/>
      <c r="E542" s="20"/>
      <c r="F542" s="21"/>
      <c r="G542" s="21"/>
    </row>
    <row r="543" ht="15.75" customHeight="1">
      <c r="C543" s="20"/>
      <c r="D543" s="20"/>
      <c r="E543" s="20"/>
      <c r="F543" s="21"/>
      <c r="G543" s="21"/>
    </row>
    <row r="544" ht="15.75" customHeight="1">
      <c r="C544" s="20"/>
      <c r="D544" s="20"/>
      <c r="E544" s="20"/>
      <c r="F544" s="21"/>
      <c r="G544" s="21"/>
    </row>
    <row r="545" ht="15.75" customHeight="1">
      <c r="C545" s="20"/>
      <c r="D545" s="20"/>
      <c r="E545" s="20"/>
      <c r="F545" s="21"/>
      <c r="G545" s="21"/>
    </row>
    <row r="546" ht="15.75" customHeight="1">
      <c r="C546" s="20"/>
      <c r="D546" s="20"/>
      <c r="E546" s="20"/>
      <c r="F546" s="21"/>
      <c r="G546" s="21"/>
    </row>
    <row r="547" ht="15.75" customHeight="1">
      <c r="C547" s="20"/>
      <c r="D547" s="20"/>
      <c r="E547" s="20"/>
      <c r="F547" s="21"/>
      <c r="G547" s="21"/>
    </row>
    <row r="548" ht="15.75" customHeight="1">
      <c r="C548" s="20"/>
      <c r="D548" s="20"/>
      <c r="E548" s="20"/>
      <c r="F548" s="21"/>
      <c r="G548" s="21"/>
    </row>
    <row r="549" ht="15.75" customHeight="1">
      <c r="C549" s="20"/>
      <c r="D549" s="20"/>
      <c r="E549" s="20"/>
      <c r="F549" s="21"/>
      <c r="G549" s="21"/>
    </row>
    <row r="550" ht="15.75" customHeight="1">
      <c r="C550" s="20"/>
      <c r="D550" s="20"/>
      <c r="E550" s="20"/>
      <c r="F550" s="21"/>
      <c r="G550" s="21"/>
    </row>
    <row r="551" ht="15.75" customHeight="1">
      <c r="C551" s="20"/>
      <c r="D551" s="20"/>
      <c r="E551" s="20"/>
      <c r="F551" s="21"/>
      <c r="G551" s="21"/>
    </row>
    <row r="552" ht="15.75" customHeight="1">
      <c r="C552" s="20"/>
      <c r="D552" s="20"/>
      <c r="E552" s="20"/>
      <c r="F552" s="21"/>
      <c r="G552" s="21"/>
    </row>
    <row r="553" ht="15.75" customHeight="1">
      <c r="C553" s="20"/>
      <c r="D553" s="20"/>
      <c r="E553" s="20"/>
      <c r="F553" s="21"/>
      <c r="G553" s="21"/>
    </row>
    <row r="554" ht="15.75" customHeight="1">
      <c r="C554" s="20"/>
      <c r="D554" s="20"/>
      <c r="E554" s="20"/>
      <c r="F554" s="21"/>
      <c r="G554" s="21"/>
    </row>
    <row r="555" ht="15.75" customHeight="1">
      <c r="C555" s="20"/>
      <c r="D555" s="20"/>
      <c r="E555" s="20"/>
      <c r="F555" s="21"/>
      <c r="G555" s="21"/>
    </row>
    <row r="556" ht="15.75" customHeight="1">
      <c r="C556" s="20"/>
      <c r="D556" s="20"/>
      <c r="E556" s="20"/>
      <c r="F556" s="21"/>
      <c r="G556" s="21"/>
    </row>
    <row r="557" ht="15.75" customHeight="1">
      <c r="C557" s="20"/>
      <c r="D557" s="20"/>
      <c r="E557" s="20"/>
      <c r="F557" s="21"/>
      <c r="G557" s="21"/>
    </row>
    <row r="558" ht="15.75" customHeight="1">
      <c r="C558" s="20"/>
      <c r="D558" s="20"/>
      <c r="E558" s="20"/>
      <c r="F558" s="21"/>
      <c r="G558" s="21"/>
    </row>
    <row r="559" ht="15.75" customHeight="1">
      <c r="C559" s="20"/>
      <c r="D559" s="20"/>
      <c r="E559" s="20"/>
      <c r="F559" s="21"/>
      <c r="G559" s="21"/>
    </row>
    <row r="560" ht="15.75" customHeight="1">
      <c r="C560" s="20"/>
      <c r="D560" s="20"/>
      <c r="E560" s="20"/>
      <c r="F560" s="21"/>
      <c r="G560" s="21"/>
    </row>
    <row r="561" ht="15.75" customHeight="1">
      <c r="C561" s="20"/>
      <c r="D561" s="20"/>
      <c r="E561" s="20"/>
      <c r="F561" s="21"/>
      <c r="G561" s="21"/>
    </row>
    <row r="562" ht="15.75" customHeight="1">
      <c r="C562" s="20"/>
      <c r="D562" s="20"/>
      <c r="E562" s="20"/>
      <c r="F562" s="21"/>
      <c r="G562" s="21"/>
    </row>
    <row r="563" ht="15.75" customHeight="1">
      <c r="C563" s="20"/>
      <c r="D563" s="20"/>
      <c r="E563" s="20"/>
      <c r="F563" s="21"/>
      <c r="G563" s="21"/>
    </row>
    <row r="564" ht="15.75" customHeight="1">
      <c r="C564" s="20"/>
      <c r="D564" s="20"/>
      <c r="E564" s="20"/>
      <c r="F564" s="21"/>
      <c r="G564" s="21"/>
    </row>
    <row r="565" ht="15.75" customHeight="1">
      <c r="C565" s="20"/>
      <c r="D565" s="20"/>
      <c r="E565" s="20"/>
      <c r="F565" s="21"/>
      <c r="G565" s="21"/>
    </row>
    <row r="566" ht="15.75" customHeight="1">
      <c r="C566" s="20"/>
      <c r="D566" s="20"/>
      <c r="E566" s="20"/>
      <c r="F566" s="21"/>
      <c r="G566" s="21"/>
    </row>
    <row r="567" ht="15.75" customHeight="1">
      <c r="C567" s="20"/>
      <c r="D567" s="20"/>
      <c r="E567" s="20"/>
      <c r="F567" s="21"/>
      <c r="G567" s="21"/>
    </row>
    <row r="568" ht="15.75" customHeight="1">
      <c r="C568" s="20"/>
      <c r="D568" s="20"/>
      <c r="E568" s="20"/>
      <c r="F568" s="21"/>
      <c r="G568" s="21"/>
    </row>
    <row r="569" ht="15.75" customHeight="1">
      <c r="C569" s="20"/>
      <c r="D569" s="20"/>
      <c r="E569" s="20"/>
      <c r="F569" s="21"/>
      <c r="G569" s="21"/>
    </row>
    <row r="570" ht="15.75" customHeight="1">
      <c r="C570" s="20"/>
      <c r="D570" s="20"/>
      <c r="E570" s="20"/>
      <c r="F570" s="21"/>
      <c r="G570" s="21"/>
    </row>
    <row r="571" ht="15.75" customHeight="1">
      <c r="C571" s="20"/>
      <c r="D571" s="20"/>
      <c r="E571" s="20"/>
      <c r="F571" s="21"/>
      <c r="G571" s="21"/>
    </row>
    <row r="572" ht="15.75" customHeight="1">
      <c r="C572" s="20"/>
      <c r="D572" s="20"/>
      <c r="E572" s="20"/>
      <c r="F572" s="21"/>
      <c r="G572" s="21"/>
    </row>
    <row r="573" ht="15.75" customHeight="1">
      <c r="C573" s="20"/>
      <c r="D573" s="20"/>
      <c r="E573" s="20"/>
      <c r="F573" s="21"/>
      <c r="G573" s="21"/>
    </row>
    <row r="574" ht="15.75" customHeight="1">
      <c r="C574" s="20"/>
      <c r="D574" s="20"/>
      <c r="E574" s="20"/>
      <c r="F574" s="21"/>
      <c r="G574" s="21"/>
    </row>
    <row r="575" ht="15.75" customHeight="1">
      <c r="C575" s="20"/>
      <c r="D575" s="20"/>
      <c r="E575" s="20"/>
      <c r="F575" s="21"/>
      <c r="G575" s="21"/>
    </row>
    <row r="576" ht="15.75" customHeight="1">
      <c r="C576" s="20"/>
      <c r="D576" s="20"/>
      <c r="E576" s="20"/>
      <c r="F576" s="21"/>
      <c r="G576" s="21"/>
    </row>
    <row r="577" ht="15.75" customHeight="1">
      <c r="C577" s="20"/>
      <c r="D577" s="20"/>
      <c r="E577" s="20"/>
      <c r="F577" s="21"/>
      <c r="G577" s="21"/>
    </row>
    <row r="578" ht="15.75" customHeight="1">
      <c r="C578" s="20"/>
      <c r="D578" s="20"/>
      <c r="E578" s="20"/>
      <c r="F578" s="21"/>
      <c r="G578" s="21"/>
    </row>
    <row r="579" ht="15.75" customHeight="1">
      <c r="C579" s="20"/>
      <c r="D579" s="20"/>
      <c r="E579" s="20"/>
      <c r="F579" s="21"/>
      <c r="G579" s="21"/>
    </row>
    <row r="580" ht="15.75" customHeight="1">
      <c r="C580" s="20"/>
      <c r="D580" s="20"/>
      <c r="E580" s="20"/>
      <c r="F580" s="21"/>
      <c r="G580" s="21"/>
    </row>
    <row r="581" ht="15.75" customHeight="1">
      <c r="C581" s="20"/>
      <c r="D581" s="20"/>
      <c r="E581" s="20"/>
      <c r="F581" s="21"/>
      <c r="G581" s="21"/>
    </row>
    <row r="582" ht="15.75" customHeight="1">
      <c r="C582" s="20"/>
      <c r="D582" s="20"/>
      <c r="E582" s="20"/>
      <c r="F582" s="21"/>
      <c r="G582" s="21"/>
    </row>
    <row r="583" ht="15.75" customHeight="1">
      <c r="C583" s="20"/>
      <c r="D583" s="20"/>
      <c r="E583" s="20"/>
      <c r="F583" s="21"/>
      <c r="G583" s="21"/>
    </row>
    <row r="584" ht="15.75" customHeight="1">
      <c r="C584" s="20"/>
      <c r="D584" s="20"/>
      <c r="E584" s="20"/>
      <c r="F584" s="21"/>
      <c r="G584" s="21"/>
    </row>
    <row r="585" ht="15.75" customHeight="1">
      <c r="C585" s="20"/>
      <c r="D585" s="20"/>
      <c r="E585" s="20"/>
      <c r="F585" s="21"/>
      <c r="G585" s="21"/>
    </row>
    <row r="586" ht="15.75" customHeight="1">
      <c r="C586" s="20"/>
      <c r="D586" s="20"/>
      <c r="E586" s="20"/>
      <c r="F586" s="21"/>
      <c r="G586" s="21"/>
    </row>
    <row r="587" ht="15.75" customHeight="1">
      <c r="C587" s="20"/>
      <c r="D587" s="20"/>
      <c r="E587" s="20"/>
      <c r="F587" s="21"/>
      <c r="G587" s="21"/>
    </row>
    <row r="588" ht="15.75" customHeight="1">
      <c r="C588" s="20"/>
      <c r="D588" s="20"/>
      <c r="E588" s="20"/>
      <c r="F588" s="21"/>
      <c r="G588" s="21"/>
    </row>
    <row r="589" ht="15.75" customHeight="1">
      <c r="C589" s="20"/>
      <c r="D589" s="20"/>
      <c r="E589" s="20"/>
      <c r="F589" s="21"/>
      <c r="G589" s="21"/>
    </row>
    <row r="590" ht="15.75" customHeight="1">
      <c r="C590" s="20"/>
      <c r="D590" s="20"/>
      <c r="E590" s="20"/>
      <c r="F590" s="21"/>
      <c r="G590" s="21"/>
    </row>
    <row r="591" ht="15.75" customHeight="1">
      <c r="C591" s="20"/>
      <c r="D591" s="20"/>
      <c r="E591" s="20"/>
      <c r="F591" s="21"/>
      <c r="G591" s="21"/>
    </row>
    <row r="592" ht="15.75" customHeight="1">
      <c r="C592" s="20"/>
      <c r="D592" s="20"/>
      <c r="E592" s="20"/>
      <c r="F592" s="21"/>
      <c r="G592" s="21"/>
    </row>
    <row r="593" ht="15.75" customHeight="1">
      <c r="C593" s="20"/>
      <c r="D593" s="20"/>
      <c r="E593" s="20"/>
      <c r="F593" s="21"/>
      <c r="G593" s="21"/>
    </row>
    <row r="594" ht="15.75" customHeight="1">
      <c r="C594" s="20"/>
      <c r="D594" s="20"/>
      <c r="E594" s="20"/>
      <c r="F594" s="21"/>
      <c r="G594" s="21"/>
    </row>
    <row r="595" ht="15.75" customHeight="1">
      <c r="C595" s="20"/>
      <c r="D595" s="20"/>
      <c r="E595" s="20"/>
      <c r="F595" s="21"/>
      <c r="G595" s="21"/>
    </row>
    <row r="596" ht="15.75" customHeight="1">
      <c r="C596" s="20"/>
      <c r="D596" s="20"/>
      <c r="E596" s="20"/>
      <c r="F596" s="21"/>
      <c r="G596" s="21"/>
    </row>
    <row r="597" ht="15.75" customHeight="1">
      <c r="C597" s="20"/>
      <c r="D597" s="20"/>
      <c r="E597" s="20"/>
      <c r="F597" s="21"/>
      <c r="G597" s="21"/>
    </row>
    <row r="598" ht="15.75" customHeight="1">
      <c r="C598" s="20"/>
      <c r="D598" s="20"/>
      <c r="E598" s="20"/>
      <c r="F598" s="21"/>
      <c r="G598" s="21"/>
    </row>
    <row r="599" ht="15.75" customHeight="1">
      <c r="C599" s="20"/>
      <c r="D599" s="20"/>
      <c r="E599" s="20"/>
      <c r="F599" s="21"/>
      <c r="G599" s="21"/>
    </row>
    <row r="600" ht="15.75" customHeight="1">
      <c r="C600" s="20"/>
      <c r="D600" s="20"/>
      <c r="E600" s="20"/>
      <c r="F600" s="21"/>
      <c r="G600" s="21"/>
    </row>
    <row r="601" ht="15.75" customHeight="1">
      <c r="C601" s="20"/>
      <c r="D601" s="20"/>
      <c r="E601" s="20"/>
      <c r="F601" s="21"/>
      <c r="G601" s="21"/>
    </row>
    <row r="602" ht="15.75" customHeight="1">
      <c r="C602" s="20"/>
      <c r="D602" s="20"/>
      <c r="E602" s="20"/>
      <c r="F602" s="21"/>
      <c r="G602" s="21"/>
    </row>
    <row r="603" ht="15.75" customHeight="1">
      <c r="C603" s="20"/>
      <c r="D603" s="20"/>
      <c r="E603" s="20"/>
      <c r="F603" s="21"/>
      <c r="G603" s="21"/>
    </row>
    <row r="604" ht="15.75" customHeight="1">
      <c r="C604" s="20"/>
      <c r="D604" s="20"/>
      <c r="E604" s="20"/>
      <c r="F604" s="21"/>
      <c r="G604" s="21"/>
    </row>
    <row r="605" ht="15.75" customHeight="1">
      <c r="C605" s="20"/>
      <c r="D605" s="20"/>
      <c r="E605" s="20"/>
      <c r="F605" s="21"/>
      <c r="G605" s="21"/>
    </row>
    <row r="606" ht="15.75" customHeight="1">
      <c r="C606" s="20"/>
      <c r="D606" s="20"/>
      <c r="E606" s="20"/>
      <c r="F606" s="21"/>
      <c r="G606" s="21"/>
    </row>
    <row r="607" ht="15.75" customHeight="1">
      <c r="C607" s="20"/>
      <c r="D607" s="20"/>
      <c r="E607" s="20"/>
      <c r="F607" s="21"/>
      <c r="G607" s="21"/>
    </row>
    <row r="608" ht="15.75" customHeight="1">
      <c r="C608" s="20"/>
      <c r="D608" s="20"/>
      <c r="E608" s="20"/>
      <c r="F608" s="21"/>
      <c r="G608" s="21"/>
    </row>
    <row r="609" ht="15.75" customHeight="1">
      <c r="C609" s="20"/>
      <c r="D609" s="20"/>
      <c r="E609" s="20"/>
      <c r="F609" s="21"/>
      <c r="G609" s="21"/>
    </row>
    <row r="610" ht="15.75" customHeight="1">
      <c r="C610" s="20"/>
      <c r="D610" s="20"/>
      <c r="E610" s="20"/>
      <c r="F610" s="21"/>
      <c r="G610" s="21"/>
    </row>
    <row r="611" ht="15.75" customHeight="1">
      <c r="C611" s="20"/>
      <c r="D611" s="20"/>
      <c r="E611" s="20"/>
      <c r="F611" s="21"/>
      <c r="G611" s="21"/>
    </row>
    <row r="612" ht="15.75" customHeight="1">
      <c r="C612" s="20"/>
      <c r="D612" s="20"/>
      <c r="E612" s="20"/>
      <c r="F612" s="21"/>
      <c r="G612" s="21"/>
    </row>
    <row r="613" ht="15.75" customHeight="1">
      <c r="C613" s="20"/>
      <c r="D613" s="20"/>
      <c r="E613" s="20"/>
      <c r="F613" s="21"/>
      <c r="G613" s="21"/>
    </row>
    <row r="614" ht="15.75" customHeight="1">
      <c r="C614" s="20"/>
      <c r="D614" s="20"/>
      <c r="E614" s="20"/>
      <c r="F614" s="21"/>
      <c r="G614" s="21"/>
    </row>
    <row r="615" ht="15.75" customHeight="1">
      <c r="C615" s="20"/>
      <c r="D615" s="20"/>
      <c r="E615" s="20"/>
      <c r="F615" s="21"/>
      <c r="G615" s="21"/>
    </row>
    <row r="616" ht="15.75" customHeight="1">
      <c r="C616" s="20"/>
      <c r="D616" s="20"/>
      <c r="E616" s="20"/>
      <c r="F616" s="21"/>
      <c r="G616" s="21"/>
    </row>
    <row r="617" ht="15.75" customHeight="1">
      <c r="C617" s="20"/>
      <c r="D617" s="20"/>
      <c r="E617" s="20"/>
      <c r="F617" s="21"/>
      <c r="G617" s="21"/>
    </row>
    <row r="618" ht="15.75" customHeight="1">
      <c r="C618" s="20"/>
      <c r="D618" s="20"/>
      <c r="E618" s="20"/>
      <c r="F618" s="21"/>
      <c r="G618" s="21"/>
    </row>
    <row r="619" ht="15.75" customHeight="1">
      <c r="C619" s="20"/>
      <c r="D619" s="20"/>
      <c r="E619" s="20"/>
      <c r="F619" s="21"/>
      <c r="G619" s="21"/>
    </row>
    <row r="620" ht="15.75" customHeight="1">
      <c r="C620" s="20"/>
      <c r="D620" s="20"/>
      <c r="E620" s="20"/>
      <c r="F620" s="21"/>
      <c r="G620" s="21"/>
    </row>
    <row r="621" ht="15.75" customHeight="1">
      <c r="C621" s="20"/>
      <c r="D621" s="20"/>
      <c r="E621" s="20"/>
      <c r="F621" s="21"/>
      <c r="G621" s="21"/>
    </row>
    <row r="622" ht="15.75" customHeight="1">
      <c r="C622" s="20"/>
      <c r="D622" s="20"/>
      <c r="E622" s="20"/>
      <c r="F622" s="21"/>
      <c r="G622" s="21"/>
    </row>
    <row r="623" ht="15.75" customHeight="1">
      <c r="C623" s="20"/>
      <c r="D623" s="20"/>
      <c r="E623" s="20"/>
      <c r="F623" s="21"/>
      <c r="G623" s="21"/>
    </row>
    <row r="624" ht="15.75" customHeight="1">
      <c r="C624" s="20"/>
      <c r="D624" s="20"/>
      <c r="E624" s="20"/>
      <c r="F624" s="21"/>
      <c r="G624" s="21"/>
    </row>
    <row r="625" ht="15.75" customHeight="1">
      <c r="C625" s="20"/>
      <c r="D625" s="20"/>
      <c r="E625" s="20"/>
      <c r="F625" s="21"/>
      <c r="G625" s="21"/>
    </row>
    <row r="626" ht="15.75" customHeight="1">
      <c r="C626" s="20"/>
      <c r="D626" s="20"/>
      <c r="E626" s="20"/>
      <c r="F626" s="21"/>
      <c r="G626" s="21"/>
    </row>
    <row r="627" ht="15.75" customHeight="1">
      <c r="C627" s="20"/>
      <c r="D627" s="20"/>
      <c r="E627" s="20"/>
      <c r="F627" s="21"/>
      <c r="G627" s="21"/>
    </row>
    <row r="628" ht="15.75" customHeight="1">
      <c r="C628" s="20"/>
      <c r="D628" s="20"/>
      <c r="E628" s="20"/>
      <c r="F628" s="21"/>
      <c r="G628" s="21"/>
    </row>
    <row r="629" ht="15.75" customHeight="1">
      <c r="C629" s="20"/>
      <c r="D629" s="20"/>
      <c r="E629" s="20"/>
      <c r="F629" s="21"/>
      <c r="G629" s="21"/>
    </row>
    <row r="630" ht="15.75" customHeight="1">
      <c r="C630" s="20"/>
      <c r="D630" s="20"/>
      <c r="E630" s="20"/>
      <c r="F630" s="21"/>
      <c r="G630" s="21"/>
    </row>
    <row r="631" ht="15.75" customHeight="1">
      <c r="C631" s="20"/>
      <c r="D631" s="20"/>
      <c r="E631" s="20"/>
      <c r="F631" s="21"/>
      <c r="G631" s="21"/>
    </row>
    <row r="632" ht="15.75" customHeight="1">
      <c r="C632" s="20"/>
      <c r="D632" s="20"/>
      <c r="E632" s="20"/>
      <c r="F632" s="21"/>
      <c r="G632" s="21"/>
    </row>
    <row r="633" ht="15.75" customHeight="1">
      <c r="C633" s="20"/>
      <c r="D633" s="20"/>
      <c r="E633" s="20"/>
      <c r="F633" s="21"/>
      <c r="G633" s="21"/>
    </row>
    <row r="634" ht="15.75" customHeight="1">
      <c r="C634" s="20"/>
      <c r="D634" s="20"/>
      <c r="E634" s="20"/>
      <c r="F634" s="21"/>
      <c r="G634" s="21"/>
    </row>
    <row r="635" ht="15.75" customHeight="1">
      <c r="C635" s="20"/>
      <c r="D635" s="20"/>
      <c r="E635" s="20"/>
      <c r="F635" s="21"/>
      <c r="G635" s="21"/>
    </row>
    <row r="636" ht="15.75" customHeight="1">
      <c r="C636" s="20"/>
      <c r="D636" s="20"/>
      <c r="E636" s="20"/>
      <c r="F636" s="21"/>
      <c r="G636" s="21"/>
    </row>
    <row r="637" ht="15.75" customHeight="1">
      <c r="C637" s="20"/>
      <c r="D637" s="20"/>
      <c r="E637" s="20"/>
      <c r="F637" s="21"/>
      <c r="G637" s="21"/>
    </row>
    <row r="638" ht="15.75" customHeight="1">
      <c r="C638" s="20"/>
      <c r="D638" s="20"/>
      <c r="E638" s="20"/>
      <c r="F638" s="21"/>
      <c r="G638" s="21"/>
    </row>
    <row r="639" ht="15.75" customHeight="1">
      <c r="C639" s="20"/>
      <c r="D639" s="20"/>
      <c r="E639" s="20"/>
      <c r="F639" s="21"/>
      <c r="G639" s="21"/>
    </row>
    <row r="640" ht="15.75" customHeight="1">
      <c r="C640" s="20"/>
      <c r="D640" s="20"/>
      <c r="E640" s="20"/>
      <c r="F640" s="21"/>
      <c r="G640" s="21"/>
    </row>
    <row r="641" ht="15.75" customHeight="1">
      <c r="C641" s="20"/>
      <c r="D641" s="20"/>
      <c r="E641" s="20"/>
      <c r="F641" s="21"/>
      <c r="G641" s="21"/>
    </row>
    <row r="642" ht="15.75" customHeight="1">
      <c r="C642" s="20"/>
      <c r="D642" s="20"/>
      <c r="E642" s="20"/>
      <c r="F642" s="21"/>
      <c r="G642" s="21"/>
    </row>
    <row r="643" ht="15.75" customHeight="1">
      <c r="C643" s="20"/>
      <c r="D643" s="20"/>
      <c r="E643" s="20"/>
      <c r="F643" s="21"/>
      <c r="G643" s="21"/>
    </row>
    <row r="644" ht="15.75" customHeight="1">
      <c r="C644" s="20"/>
      <c r="D644" s="20"/>
      <c r="E644" s="20"/>
      <c r="F644" s="21"/>
      <c r="G644" s="21"/>
    </row>
    <row r="645" ht="15.75" customHeight="1">
      <c r="C645" s="20"/>
      <c r="D645" s="20"/>
      <c r="E645" s="20"/>
      <c r="F645" s="21"/>
      <c r="G645" s="21"/>
    </row>
    <row r="646" ht="15.75" customHeight="1">
      <c r="C646" s="20"/>
      <c r="D646" s="20"/>
      <c r="E646" s="20"/>
      <c r="F646" s="21"/>
      <c r="G646" s="21"/>
    </row>
    <row r="647" ht="15.75" customHeight="1">
      <c r="C647" s="20"/>
      <c r="D647" s="20"/>
      <c r="E647" s="20"/>
      <c r="F647" s="21"/>
      <c r="G647" s="21"/>
    </row>
    <row r="648" ht="15.75" customHeight="1">
      <c r="C648" s="20"/>
      <c r="D648" s="20"/>
      <c r="E648" s="20"/>
      <c r="F648" s="21"/>
      <c r="G648" s="21"/>
    </row>
    <row r="649" ht="15.75" customHeight="1">
      <c r="C649" s="20"/>
      <c r="D649" s="20"/>
      <c r="E649" s="20"/>
      <c r="F649" s="21"/>
      <c r="G649" s="21"/>
    </row>
    <row r="650" ht="15.75" customHeight="1">
      <c r="C650" s="20"/>
      <c r="D650" s="20"/>
      <c r="E650" s="20"/>
      <c r="F650" s="21"/>
      <c r="G650" s="21"/>
    </row>
    <row r="651" ht="15.75" customHeight="1">
      <c r="C651" s="20"/>
      <c r="D651" s="20"/>
      <c r="E651" s="20"/>
      <c r="F651" s="21"/>
      <c r="G651" s="21"/>
    </row>
    <row r="652" ht="15.75" customHeight="1">
      <c r="C652" s="20"/>
      <c r="D652" s="20"/>
      <c r="E652" s="20"/>
      <c r="F652" s="21"/>
      <c r="G652" s="21"/>
    </row>
    <row r="653" ht="15.75" customHeight="1">
      <c r="C653" s="20"/>
      <c r="D653" s="20"/>
      <c r="E653" s="20"/>
      <c r="F653" s="21"/>
      <c r="G653" s="21"/>
    </row>
    <row r="654" ht="15.75" customHeight="1">
      <c r="C654" s="20"/>
      <c r="D654" s="20"/>
      <c r="E654" s="20"/>
      <c r="F654" s="21"/>
      <c r="G654" s="21"/>
    </row>
    <row r="655" ht="15.75" customHeight="1">
      <c r="C655" s="20"/>
      <c r="D655" s="20"/>
      <c r="E655" s="20"/>
      <c r="F655" s="21"/>
      <c r="G655" s="21"/>
    </row>
    <row r="656" ht="15.75" customHeight="1">
      <c r="C656" s="20"/>
      <c r="D656" s="20"/>
      <c r="E656" s="20"/>
      <c r="F656" s="21"/>
      <c r="G656" s="21"/>
    </row>
    <row r="657" ht="15.75" customHeight="1">
      <c r="C657" s="20"/>
      <c r="D657" s="20"/>
      <c r="E657" s="20"/>
      <c r="F657" s="21"/>
      <c r="G657" s="21"/>
    </row>
    <row r="658" ht="15.75" customHeight="1">
      <c r="C658" s="20"/>
      <c r="D658" s="20"/>
      <c r="E658" s="20"/>
      <c r="F658" s="21"/>
      <c r="G658" s="21"/>
    </row>
    <row r="659" ht="15.75" customHeight="1">
      <c r="C659" s="20"/>
      <c r="D659" s="20"/>
      <c r="E659" s="20"/>
      <c r="F659" s="21"/>
      <c r="G659" s="21"/>
    </row>
    <row r="660" ht="15.75" customHeight="1">
      <c r="C660" s="20"/>
      <c r="D660" s="20"/>
      <c r="E660" s="20"/>
      <c r="F660" s="21"/>
      <c r="G660" s="21"/>
    </row>
    <row r="661" ht="15.75" customHeight="1">
      <c r="C661" s="20"/>
      <c r="D661" s="20"/>
      <c r="E661" s="20"/>
      <c r="F661" s="21"/>
      <c r="G661" s="21"/>
    </row>
    <row r="662" ht="15.75" customHeight="1">
      <c r="C662" s="20"/>
      <c r="D662" s="20"/>
      <c r="E662" s="20"/>
      <c r="F662" s="21"/>
      <c r="G662" s="21"/>
    </row>
    <row r="663" ht="15.75" customHeight="1">
      <c r="C663" s="20"/>
      <c r="D663" s="20"/>
      <c r="E663" s="20"/>
      <c r="F663" s="21"/>
      <c r="G663" s="21"/>
    </row>
    <row r="664" ht="15.75" customHeight="1">
      <c r="C664" s="20"/>
      <c r="D664" s="20"/>
      <c r="E664" s="20"/>
      <c r="F664" s="21"/>
      <c r="G664" s="21"/>
    </row>
    <row r="665" ht="15.75" customHeight="1">
      <c r="C665" s="20"/>
      <c r="D665" s="20"/>
      <c r="E665" s="20"/>
      <c r="F665" s="21"/>
      <c r="G665" s="21"/>
    </row>
    <row r="666" ht="15.75" customHeight="1">
      <c r="C666" s="20"/>
      <c r="D666" s="20"/>
      <c r="E666" s="20"/>
      <c r="F666" s="21"/>
      <c r="G666" s="21"/>
    </row>
    <row r="667" ht="15.75" customHeight="1">
      <c r="C667" s="20"/>
      <c r="D667" s="20"/>
      <c r="E667" s="20"/>
      <c r="F667" s="21"/>
      <c r="G667" s="21"/>
    </row>
    <row r="668" ht="15.75" customHeight="1">
      <c r="C668" s="20"/>
      <c r="D668" s="20"/>
      <c r="E668" s="20"/>
      <c r="F668" s="21"/>
      <c r="G668" s="21"/>
    </row>
    <row r="669" ht="15.75" customHeight="1">
      <c r="C669" s="20"/>
      <c r="D669" s="20"/>
      <c r="E669" s="20"/>
      <c r="F669" s="21"/>
      <c r="G669" s="21"/>
    </row>
    <row r="670" ht="15.75" customHeight="1">
      <c r="C670" s="20"/>
      <c r="D670" s="20"/>
      <c r="E670" s="20"/>
      <c r="F670" s="21"/>
      <c r="G670" s="21"/>
    </row>
    <row r="671" ht="15.75" customHeight="1">
      <c r="C671" s="20"/>
      <c r="D671" s="20"/>
      <c r="E671" s="20"/>
      <c r="F671" s="21"/>
      <c r="G671" s="21"/>
    </row>
    <row r="672" ht="15.75" customHeight="1">
      <c r="C672" s="20"/>
      <c r="D672" s="20"/>
      <c r="E672" s="20"/>
      <c r="F672" s="21"/>
      <c r="G672" s="21"/>
    </row>
    <row r="673" ht="15.75" customHeight="1">
      <c r="C673" s="20"/>
      <c r="D673" s="20"/>
      <c r="E673" s="20"/>
      <c r="F673" s="21"/>
      <c r="G673" s="21"/>
    </row>
    <row r="674" ht="15.75" customHeight="1">
      <c r="C674" s="20"/>
      <c r="D674" s="20"/>
      <c r="E674" s="20"/>
      <c r="F674" s="21"/>
      <c r="G674" s="21"/>
    </row>
    <row r="675" ht="15.75" customHeight="1">
      <c r="C675" s="20"/>
      <c r="D675" s="20"/>
      <c r="E675" s="20"/>
      <c r="F675" s="21"/>
      <c r="G675" s="21"/>
    </row>
    <row r="676" ht="15.75" customHeight="1">
      <c r="C676" s="20"/>
      <c r="D676" s="20"/>
      <c r="E676" s="20"/>
      <c r="F676" s="21"/>
      <c r="G676" s="21"/>
    </row>
    <row r="677" ht="15.75" customHeight="1">
      <c r="C677" s="20"/>
      <c r="D677" s="20"/>
      <c r="E677" s="20"/>
      <c r="F677" s="21"/>
      <c r="G677" s="21"/>
    </row>
    <row r="678" ht="15.75" customHeight="1">
      <c r="C678" s="20"/>
      <c r="D678" s="20"/>
      <c r="E678" s="20"/>
      <c r="F678" s="21"/>
      <c r="G678" s="21"/>
    </row>
    <row r="679" ht="15.75" customHeight="1">
      <c r="C679" s="20"/>
      <c r="D679" s="20"/>
      <c r="E679" s="20"/>
      <c r="F679" s="21"/>
      <c r="G679" s="21"/>
    </row>
    <row r="680" ht="15.75" customHeight="1">
      <c r="C680" s="20"/>
      <c r="D680" s="20"/>
      <c r="E680" s="20"/>
      <c r="F680" s="21"/>
      <c r="G680" s="21"/>
    </row>
    <row r="681" ht="15.75" customHeight="1">
      <c r="C681" s="20"/>
      <c r="D681" s="20"/>
      <c r="E681" s="20"/>
      <c r="F681" s="21"/>
      <c r="G681" s="21"/>
    </row>
    <row r="682" ht="15.75" customHeight="1">
      <c r="C682" s="20"/>
      <c r="D682" s="20"/>
      <c r="E682" s="20"/>
      <c r="F682" s="21"/>
      <c r="G682" s="21"/>
    </row>
    <row r="683" ht="15.75" customHeight="1">
      <c r="C683" s="20"/>
      <c r="D683" s="20"/>
      <c r="E683" s="20"/>
      <c r="F683" s="21"/>
      <c r="G683" s="21"/>
    </row>
    <row r="684" ht="15.75" customHeight="1">
      <c r="C684" s="20"/>
      <c r="D684" s="20"/>
      <c r="E684" s="20"/>
      <c r="F684" s="21"/>
      <c r="G684" s="21"/>
    </row>
    <row r="685" ht="15.75" customHeight="1">
      <c r="C685" s="20"/>
      <c r="D685" s="20"/>
      <c r="E685" s="20"/>
      <c r="F685" s="21"/>
      <c r="G685" s="21"/>
    </row>
    <row r="686" ht="15.75" customHeight="1">
      <c r="C686" s="20"/>
      <c r="D686" s="20"/>
      <c r="E686" s="20"/>
      <c r="F686" s="21"/>
      <c r="G686" s="21"/>
    </row>
    <row r="687" ht="15.75" customHeight="1">
      <c r="C687" s="20"/>
      <c r="D687" s="20"/>
      <c r="E687" s="20"/>
      <c r="F687" s="21"/>
      <c r="G687" s="21"/>
    </row>
    <row r="688" ht="15.75" customHeight="1">
      <c r="C688" s="20"/>
      <c r="D688" s="20"/>
      <c r="E688" s="20"/>
      <c r="F688" s="21"/>
      <c r="G688" s="21"/>
    </row>
    <row r="689" ht="15.75" customHeight="1">
      <c r="C689" s="20"/>
      <c r="D689" s="20"/>
      <c r="E689" s="20"/>
      <c r="F689" s="21"/>
      <c r="G689" s="21"/>
    </row>
    <row r="690" ht="15.75" customHeight="1">
      <c r="C690" s="20"/>
      <c r="D690" s="20"/>
      <c r="E690" s="20"/>
      <c r="F690" s="21"/>
      <c r="G690" s="21"/>
    </row>
    <row r="691" ht="15.75" customHeight="1">
      <c r="C691" s="20"/>
      <c r="D691" s="20"/>
      <c r="E691" s="20"/>
      <c r="F691" s="21"/>
      <c r="G691" s="21"/>
    </row>
    <row r="692" ht="15.75" customHeight="1">
      <c r="C692" s="20"/>
      <c r="D692" s="20"/>
      <c r="E692" s="20"/>
      <c r="F692" s="21"/>
      <c r="G692" s="21"/>
    </row>
    <row r="693" ht="15.75" customHeight="1">
      <c r="C693" s="20"/>
      <c r="D693" s="20"/>
      <c r="E693" s="20"/>
      <c r="F693" s="21"/>
      <c r="G693" s="21"/>
    </row>
    <row r="694" ht="15.75" customHeight="1">
      <c r="C694" s="20"/>
      <c r="D694" s="20"/>
      <c r="E694" s="20"/>
      <c r="F694" s="21"/>
      <c r="G694" s="21"/>
    </row>
    <row r="695" ht="15.75" customHeight="1">
      <c r="C695" s="20"/>
      <c r="D695" s="20"/>
      <c r="E695" s="20"/>
      <c r="F695" s="21"/>
      <c r="G695" s="21"/>
    </row>
    <row r="696" ht="15.75" customHeight="1">
      <c r="C696" s="20"/>
      <c r="D696" s="20"/>
      <c r="E696" s="20"/>
      <c r="F696" s="21"/>
      <c r="G696" s="21"/>
    </row>
    <row r="697" ht="15.75" customHeight="1">
      <c r="C697" s="20"/>
      <c r="D697" s="20"/>
      <c r="E697" s="20"/>
      <c r="F697" s="21"/>
      <c r="G697" s="21"/>
    </row>
    <row r="698" ht="15.75" customHeight="1">
      <c r="C698" s="20"/>
      <c r="D698" s="20"/>
      <c r="E698" s="20"/>
      <c r="F698" s="21"/>
      <c r="G698" s="21"/>
    </row>
    <row r="699" ht="15.75" customHeight="1">
      <c r="C699" s="20"/>
      <c r="D699" s="20"/>
      <c r="E699" s="20"/>
      <c r="F699" s="21"/>
      <c r="G699" s="21"/>
    </row>
    <row r="700" ht="15.75" customHeight="1">
      <c r="C700" s="20"/>
      <c r="D700" s="20"/>
      <c r="E700" s="20"/>
      <c r="F700" s="21"/>
      <c r="G700" s="21"/>
    </row>
    <row r="701" ht="15.75" customHeight="1">
      <c r="C701" s="20"/>
      <c r="D701" s="20"/>
      <c r="E701" s="20"/>
      <c r="F701" s="21"/>
      <c r="G701" s="21"/>
    </row>
    <row r="702" ht="15.75" customHeight="1">
      <c r="C702" s="20"/>
      <c r="D702" s="20"/>
      <c r="E702" s="20"/>
      <c r="F702" s="21"/>
      <c r="G702" s="21"/>
    </row>
    <row r="703" ht="15.75" customHeight="1">
      <c r="C703" s="20"/>
      <c r="D703" s="20"/>
      <c r="E703" s="20"/>
      <c r="F703" s="21"/>
      <c r="G703" s="21"/>
    </row>
    <row r="704" ht="15.75" customHeight="1">
      <c r="C704" s="20"/>
      <c r="D704" s="20"/>
      <c r="E704" s="20"/>
      <c r="F704" s="21"/>
      <c r="G704" s="21"/>
    </row>
    <row r="705" ht="15.75" customHeight="1">
      <c r="C705" s="20"/>
      <c r="D705" s="20"/>
      <c r="E705" s="20"/>
      <c r="F705" s="21"/>
      <c r="G705" s="21"/>
    </row>
    <row r="706" ht="15.75" customHeight="1">
      <c r="C706" s="20"/>
      <c r="D706" s="20"/>
      <c r="E706" s="20"/>
      <c r="F706" s="21"/>
      <c r="G706" s="21"/>
    </row>
    <row r="707" ht="15.75" customHeight="1">
      <c r="C707" s="20"/>
      <c r="D707" s="20"/>
      <c r="E707" s="20"/>
      <c r="F707" s="21"/>
      <c r="G707" s="21"/>
    </row>
    <row r="708" ht="15.75" customHeight="1">
      <c r="C708" s="20"/>
      <c r="D708" s="20"/>
      <c r="E708" s="20"/>
      <c r="F708" s="21"/>
      <c r="G708" s="21"/>
    </row>
    <row r="709" ht="15.75" customHeight="1">
      <c r="C709" s="20"/>
      <c r="D709" s="20"/>
      <c r="E709" s="20"/>
      <c r="F709" s="21"/>
      <c r="G709" s="21"/>
    </row>
    <row r="710" ht="15.75" customHeight="1">
      <c r="C710" s="20"/>
      <c r="D710" s="20"/>
      <c r="E710" s="20"/>
      <c r="F710" s="21"/>
      <c r="G710" s="21"/>
    </row>
    <row r="711" ht="15.75" customHeight="1">
      <c r="C711" s="20"/>
      <c r="D711" s="20"/>
      <c r="E711" s="20"/>
      <c r="F711" s="21"/>
      <c r="G711" s="21"/>
    </row>
    <row r="712" ht="15.75" customHeight="1">
      <c r="C712" s="20"/>
      <c r="D712" s="20"/>
      <c r="E712" s="20"/>
      <c r="F712" s="21"/>
      <c r="G712" s="21"/>
    </row>
    <row r="713" ht="15.75" customHeight="1">
      <c r="C713" s="20"/>
      <c r="D713" s="20"/>
      <c r="E713" s="20"/>
      <c r="F713" s="21"/>
      <c r="G713" s="21"/>
    </row>
    <row r="714" ht="15.75" customHeight="1">
      <c r="C714" s="20"/>
      <c r="D714" s="20"/>
      <c r="E714" s="20"/>
      <c r="F714" s="21"/>
      <c r="G714" s="21"/>
    </row>
    <row r="715" ht="15.75" customHeight="1">
      <c r="C715" s="20"/>
      <c r="D715" s="20"/>
      <c r="E715" s="20"/>
      <c r="F715" s="21"/>
      <c r="G715" s="21"/>
    </row>
    <row r="716" ht="15.75" customHeight="1">
      <c r="C716" s="20"/>
      <c r="D716" s="20"/>
      <c r="E716" s="20"/>
      <c r="F716" s="21"/>
      <c r="G716" s="21"/>
    </row>
    <row r="717" ht="15.75" customHeight="1">
      <c r="C717" s="20"/>
      <c r="D717" s="20"/>
      <c r="E717" s="20"/>
      <c r="F717" s="21"/>
      <c r="G717" s="21"/>
    </row>
    <row r="718" ht="15.75" customHeight="1">
      <c r="C718" s="20"/>
      <c r="D718" s="20"/>
      <c r="E718" s="20"/>
      <c r="F718" s="21"/>
      <c r="G718" s="21"/>
    </row>
    <row r="719" ht="15.75" customHeight="1">
      <c r="C719" s="20"/>
      <c r="D719" s="20"/>
      <c r="E719" s="20"/>
      <c r="F719" s="21"/>
      <c r="G719" s="21"/>
    </row>
    <row r="720" ht="15.75" customHeight="1">
      <c r="C720" s="20"/>
      <c r="D720" s="20"/>
      <c r="E720" s="20"/>
      <c r="F720" s="21"/>
      <c r="G720" s="21"/>
    </row>
    <row r="721" ht="15.75" customHeight="1">
      <c r="C721" s="20"/>
      <c r="D721" s="20"/>
      <c r="E721" s="20"/>
      <c r="F721" s="21"/>
      <c r="G721" s="21"/>
    </row>
    <row r="722" ht="15.75" customHeight="1">
      <c r="C722" s="20"/>
      <c r="D722" s="20"/>
      <c r="E722" s="20"/>
      <c r="F722" s="21"/>
      <c r="G722" s="21"/>
    </row>
    <row r="723" ht="15.75" customHeight="1">
      <c r="C723" s="20"/>
      <c r="D723" s="20"/>
      <c r="E723" s="20"/>
      <c r="F723" s="21"/>
      <c r="G723" s="21"/>
    </row>
    <row r="724" ht="15.75" customHeight="1">
      <c r="C724" s="20"/>
      <c r="D724" s="20"/>
      <c r="E724" s="20"/>
      <c r="F724" s="21"/>
      <c r="G724" s="21"/>
    </row>
    <row r="725" ht="15.75" customHeight="1">
      <c r="C725" s="20"/>
      <c r="D725" s="20"/>
      <c r="E725" s="20"/>
      <c r="F725" s="21"/>
      <c r="G725" s="21"/>
    </row>
    <row r="726" ht="15.75" customHeight="1">
      <c r="C726" s="20"/>
      <c r="D726" s="20"/>
      <c r="E726" s="20"/>
      <c r="F726" s="21"/>
      <c r="G726" s="21"/>
    </row>
    <row r="727" ht="15.75" customHeight="1">
      <c r="C727" s="20"/>
      <c r="D727" s="20"/>
      <c r="E727" s="20"/>
      <c r="F727" s="21"/>
      <c r="G727" s="21"/>
    </row>
    <row r="728" ht="15.75" customHeight="1">
      <c r="C728" s="20"/>
      <c r="D728" s="20"/>
      <c r="E728" s="20"/>
      <c r="F728" s="21"/>
      <c r="G728" s="21"/>
    </row>
    <row r="729" ht="15.75" customHeight="1">
      <c r="C729" s="20"/>
      <c r="D729" s="20"/>
      <c r="E729" s="20"/>
      <c r="F729" s="21"/>
      <c r="G729" s="21"/>
    </row>
    <row r="730" ht="15.75" customHeight="1">
      <c r="C730" s="20"/>
      <c r="D730" s="20"/>
      <c r="E730" s="20"/>
      <c r="F730" s="21"/>
      <c r="G730" s="21"/>
    </row>
    <row r="731" ht="15.75" customHeight="1">
      <c r="C731" s="20"/>
      <c r="D731" s="20"/>
      <c r="E731" s="20"/>
      <c r="F731" s="21"/>
      <c r="G731" s="21"/>
    </row>
    <row r="732" ht="15.75" customHeight="1">
      <c r="C732" s="20"/>
      <c r="D732" s="20"/>
      <c r="E732" s="20"/>
      <c r="F732" s="21"/>
      <c r="G732" s="21"/>
    </row>
    <row r="733" ht="15.75" customHeight="1">
      <c r="C733" s="20"/>
      <c r="D733" s="20"/>
      <c r="E733" s="20"/>
      <c r="F733" s="21"/>
      <c r="G733" s="21"/>
    </row>
    <row r="734" ht="15.75" customHeight="1">
      <c r="C734" s="20"/>
      <c r="D734" s="20"/>
      <c r="E734" s="20"/>
      <c r="F734" s="21"/>
      <c r="G734" s="21"/>
    </row>
    <row r="735" ht="15.75" customHeight="1">
      <c r="C735" s="20"/>
      <c r="D735" s="20"/>
      <c r="E735" s="20"/>
      <c r="F735" s="21"/>
      <c r="G735" s="21"/>
    </row>
    <row r="736" ht="15.75" customHeight="1">
      <c r="C736" s="20"/>
      <c r="D736" s="20"/>
      <c r="E736" s="20"/>
      <c r="F736" s="21"/>
      <c r="G736" s="21"/>
    </row>
    <row r="737" ht="15.75" customHeight="1">
      <c r="C737" s="20"/>
      <c r="D737" s="20"/>
      <c r="E737" s="20"/>
      <c r="F737" s="21"/>
      <c r="G737" s="21"/>
    </row>
    <row r="738" ht="15.75" customHeight="1">
      <c r="C738" s="20"/>
      <c r="D738" s="20"/>
      <c r="E738" s="20"/>
      <c r="F738" s="21"/>
      <c r="G738" s="21"/>
    </row>
    <row r="739" ht="15.75" customHeight="1">
      <c r="C739" s="20"/>
      <c r="D739" s="20"/>
      <c r="E739" s="20"/>
      <c r="F739" s="21"/>
      <c r="G739" s="21"/>
    </row>
    <row r="740" ht="15.75" customHeight="1">
      <c r="C740" s="20"/>
      <c r="D740" s="20"/>
      <c r="E740" s="20"/>
      <c r="F740" s="21"/>
      <c r="G740" s="21"/>
    </row>
    <row r="741" ht="15.75" customHeight="1">
      <c r="C741" s="20"/>
      <c r="D741" s="20"/>
      <c r="E741" s="20"/>
      <c r="F741" s="21"/>
      <c r="G741" s="21"/>
    </row>
    <row r="742" ht="15.75" customHeight="1">
      <c r="C742" s="20"/>
      <c r="D742" s="20"/>
      <c r="E742" s="20"/>
      <c r="F742" s="21"/>
      <c r="G742" s="21"/>
    </row>
    <row r="743" ht="15.75" customHeight="1">
      <c r="C743" s="20"/>
      <c r="D743" s="20"/>
      <c r="E743" s="20"/>
      <c r="F743" s="21"/>
      <c r="G743" s="21"/>
    </row>
    <row r="744" ht="15.75" customHeight="1">
      <c r="C744" s="20"/>
      <c r="D744" s="20"/>
      <c r="E744" s="20"/>
      <c r="F744" s="21"/>
      <c r="G744" s="21"/>
    </row>
    <row r="745" ht="15.75" customHeight="1">
      <c r="C745" s="20"/>
      <c r="D745" s="20"/>
      <c r="E745" s="20"/>
      <c r="F745" s="21"/>
      <c r="G745" s="21"/>
    </row>
    <row r="746" ht="15.75" customHeight="1">
      <c r="C746" s="20"/>
      <c r="D746" s="20"/>
      <c r="E746" s="20"/>
      <c r="F746" s="21"/>
      <c r="G746" s="21"/>
    </row>
    <row r="747" ht="15.75" customHeight="1">
      <c r="C747" s="20"/>
      <c r="D747" s="20"/>
      <c r="E747" s="20"/>
      <c r="F747" s="21"/>
      <c r="G747" s="21"/>
    </row>
    <row r="748" ht="15.75" customHeight="1">
      <c r="C748" s="20"/>
      <c r="D748" s="20"/>
      <c r="E748" s="20"/>
      <c r="F748" s="21"/>
      <c r="G748" s="21"/>
    </row>
    <row r="749" ht="15.75" customHeight="1">
      <c r="C749" s="20"/>
      <c r="D749" s="20"/>
      <c r="E749" s="20"/>
      <c r="F749" s="21"/>
      <c r="G749" s="21"/>
    </row>
    <row r="750" ht="15.75" customHeight="1">
      <c r="C750" s="20"/>
      <c r="D750" s="20"/>
      <c r="E750" s="20"/>
      <c r="F750" s="21"/>
      <c r="G750" s="21"/>
    </row>
    <row r="751" ht="15.75" customHeight="1">
      <c r="C751" s="20"/>
      <c r="D751" s="20"/>
      <c r="E751" s="20"/>
      <c r="F751" s="21"/>
      <c r="G751" s="21"/>
    </row>
    <row r="752" ht="15.75" customHeight="1">
      <c r="C752" s="20"/>
      <c r="D752" s="20"/>
      <c r="E752" s="20"/>
      <c r="F752" s="21"/>
      <c r="G752" s="21"/>
    </row>
    <row r="753" ht="15.75" customHeight="1">
      <c r="C753" s="20"/>
      <c r="D753" s="20"/>
      <c r="E753" s="20"/>
      <c r="F753" s="21"/>
      <c r="G753" s="21"/>
    </row>
    <row r="754" ht="15.75" customHeight="1">
      <c r="C754" s="20"/>
      <c r="D754" s="20"/>
      <c r="E754" s="20"/>
      <c r="F754" s="21"/>
      <c r="G754" s="21"/>
    </row>
    <row r="755" ht="15.75" customHeight="1">
      <c r="C755" s="20"/>
      <c r="D755" s="20"/>
      <c r="E755" s="20"/>
      <c r="F755" s="21"/>
      <c r="G755" s="21"/>
    </row>
    <row r="756" ht="15.75" customHeight="1">
      <c r="C756" s="20"/>
      <c r="D756" s="20"/>
      <c r="E756" s="20"/>
      <c r="F756" s="21"/>
      <c r="G756" s="21"/>
    </row>
    <row r="757" ht="15.75" customHeight="1">
      <c r="C757" s="20"/>
      <c r="D757" s="20"/>
      <c r="E757" s="20"/>
      <c r="F757" s="21"/>
      <c r="G757" s="21"/>
    </row>
    <row r="758" ht="15.75" customHeight="1">
      <c r="C758" s="20"/>
      <c r="D758" s="20"/>
      <c r="E758" s="20"/>
      <c r="F758" s="21"/>
      <c r="G758" s="21"/>
    </row>
    <row r="759" ht="15.75" customHeight="1">
      <c r="C759" s="20"/>
      <c r="D759" s="20"/>
      <c r="E759" s="20"/>
      <c r="F759" s="21"/>
      <c r="G759" s="21"/>
    </row>
    <row r="760" ht="15.75" customHeight="1">
      <c r="C760" s="20"/>
      <c r="D760" s="20"/>
      <c r="E760" s="20"/>
      <c r="F760" s="21"/>
      <c r="G760" s="21"/>
    </row>
    <row r="761" ht="15.75" customHeight="1">
      <c r="C761" s="20"/>
      <c r="D761" s="20"/>
      <c r="E761" s="20"/>
      <c r="F761" s="21"/>
      <c r="G761" s="21"/>
    </row>
    <row r="762" ht="15.75" customHeight="1">
      <c r="C762" s="20"/>
      <c r="D762" s="20"/>
      <c r="E762" s="20"/>
      <c r="F762" s="21"/>
      <c r="G762" s="21"/>
    </row>
    <row r="763" ht="15.75" customHeight="1">
      <c r="C763" s="20"/>
      <c r="D763" s="20"/>
      <c r="E763" s="20"/>
      <c r="F763" s="21"/>
      <c r="G763" s="21"/>
    </row>
    <row r="764" ht="15.75" customHeight="1">
      <c r="C764" s="20"/>
      <c r="D764" s="20"/>
      <c r="E764" s="20"/>
      <c r="F764" s="21"/>
      <c r="G764" s="21"/>
    </row>
    <row r="765" ht="15.75" customHeight="1">
      <c r="C765" s="20"/>
      <c r="D765" s="20"/>
      <c r="E765" s="20"/>
      <c r="F765" s="21"/>
      <c r="G765" s="21"/>
    </row>
    <row r="766" ht="15.75" customHeight="1">
      <c r="C766" s="20"/>
      <c r="D766" s="20"/>
      <c r="E766" s="20"/>
      <c r="F766" s="21"/>
      <c r="G766" s="21"/>
    </row>
    <row r="767" ht="15.75" customHeight="1">
      <c r="C767" s="20"/>
      <c r="D767" s="20"/>
      <c r="E767" s="20"/>
      <c r="F767" s="21"/>
      <c r="G767" s="21"/>
    </row>
    <row r="768" ht="15.75" customHeight="1">
      <c r="C768" s="20"/>
      <c r="D768" s="20"/>
      <c r="E768" s="20"/>
      <c r="F768" s="21"/>
      <c r="G768" s="21"/>
    </row>
    <row r="769" ht="15.75" customHeight="1">
      <c r="C769" s="20"/>
      <c r="D769" s="20"/>
      <c r="E769" s="20"/>
      <c r="F769" s="21"/>
      <c r="G769" s="21"/>
    </row>
    <row r="770" ht="15.75" customHeight="1">
      <c r="C770" s="20"/>
      <c r="D770" s="20"/>
      <c r="E770" s="20"/>
      <c r="F770" s="21"/>
      <c r="G770" s="21"/>
    </row>
    <row r="771" ht="15.75" customHeight="1">
      <c r="C771" s="20"/>
      <c r="D771" s="20"/>
      <c r="E771" s="20"/>
      <c r="F771" s="21"/>
      <c r="G771" s="21"/>
    </row>
    <row r="772" ht="15.75" customHeight="1">
      <c r="C772" s="20"/>
      <c r="D772" s="20"/>
      <c r="E772" s="20"/>
      <c r="F772" s="21"/>
      <c r="G772" s="21"/>
    </row>
    <row r="773" ht="15.75" customHeight="1">
      <c r="C773" s="20"/>
      <c r="D773" s="20"/>
      <c r="E773" s="20"/>
      <c r="F773" s="21"/>
      <c r="G773" s="21"/>
    </row>
    <row r="774" ht="15.75" customHeight="1">
      <c r="C774" s="20"/>
      <c r="D774" s="20"/>
      <c r="E774" s="20"/>
      <c r="F774" s="21"/>
      <c r="G774" s="21"/>
    </row>
    <row r="775" ht="15.75" customHeight="1">
      <c r="C775" s="20"/>
      <c r="D775" s="20"/>
      <c r="E775" s="20"/>
      <c r="F775" s="21"/>
      <c r="G775" s="21"/>
    </row>
    <row r="776" ht="15.75" customHeight="1">
      <c r="C776" s="20"/>
      <c r="D776" s="20"/>
      <c r="E776" s="20"/>
      <c r="F776" s="21"/>
      <c r="G776" s="21"/>
    </row>
    <row r="777" ht="15.75" customHeight="1">
      <c r="C777" s="20"/>
      <c r="D777" s="20"/>
      <c r="E777" s="20"/>
      <c r="F777" s="21"/>
      <c r="G777" s="21"/>
    </row>
    <row r="778" ht="15.75" customHeight="1">
      <c r="C778" s="20"/>
      <c r="D778" s="20"/>
      <c r="E778" s="20"/>
      <c r="F778" s="21"/>
      <c r="G778" s="21"/>
    </row>
    <row r="779" ht="15.75" customHeight="1">
      <c r="C779" s="20"/>
      <c r="D779" s="20"/>
      <c r="E779" s="20"/>
      <c r="F779" s="21"/>
      <c r="G779" s="21"/>
    </row>
    <row r="780" ht="15.75" customHeight="1">
      <c r="C780" s="20"/>
      <c r="D780" s="20"/>
      <c r="E780" s="20"/>
      <c r="F780" s="21"/>
      <c r="G780" s="21"/>
    </row>
    <row r="781" ht="15.75" customHeight="1">
      <c r="C781" s="20"/>
      <c r="D781" s="20"/>
      <c r="E781" s="20"/>
      <c r="F781" s="21"/>
      <c r="G781" s="21"/>
    </row>
    <row r="782" ht="15.75" customHeight="1">
      <c r="C782" s="20"/>
      <c r="D782" s="20"/>
      <c r="E782" s="20"/>
      <c r="F782" s="21"/>
      <c r="G782" s="21"/>
    </row>
    <row r="783" ht="15.75" customHeight="1">
      <c r="C783" s="20"/>
      <c r="D783" s="20"/>
      <c r="E783" s="20"/>
      <c r="F783" s="21"/>
      <c r="G783" s="21"/>
    </row>
    <row r="784" ht="15.75" customHeight="1">
      <c r="C784" s="20"/>
      <c r="D784" s="20"/>
      <c r="E784" s="20"/>
      <c r="F784" s="21"/>
      <c r="G784" s="21"/>
    </row>
    <row r="785" ht="15.75" customHeight="1">
      <c r="C785" s="20"/>
      <c r="D785" s="20"/>
      <c r="E785" s="20"/>
      <c r="F785" s="21"/>
      <c r="G785" s="21"/>
    </row>
    <row r="786" ht="15.75" customHeight="1">
      <c r="C786" s="20"/>
      <c r="D786" s="20"/>
      <c r="E786" s="20"/>
      <c r="F786" s="21"/>
      <c r="G786" s="21"/>
    </row>
    <row r="787" ht="15.75" customHeight="1">
      <c r="C787" s="20"/>
      <c r="D787" s="20"/>
      <c r="E787" s="20"/>
      <c r="F787" s="21"/>
      <c r="G787" s="21"/>
    </row>
    <row r="788" ht="15.75" customHeight="1">
      <c r="C788" s="20"/>
      <c r="D788" s="20"/>
      <c r="E788" s="20"/>
      <c r="F788" s="21"/>
      <c r="G788" s="21"/>
    </row>
    <row r="789" ht="15.75" customHeight="1">
      <c r="C789" s="20"/>
      <c r="D789" s="20"/>
      <c r="E789" s="20"/>
      <c r="F789" s="21"/>
      <c r="G789" s="21"/>
    </row>
    <row r="790" ht="15.75" customHeight="1">
      <c r="C790" s="20"/>
      <c r="D790" s="20"/>
      <c r="E790" s="20"/>
      <c r="F790" s="21"/>
      <c r="G790" s="21"/>
    </row>
    <row r="791" ht="15.75" customHeight="1">
      <c r="C791" s="20"/>
      <c r="D791" s="20"/>
      <c r="E791" s="20"/>
      <c r="F791" s="21"/>
      <c r="G791" s="21"/>
    </row>
    <row r="792" ht="15.75" customHeight="1">
      <c r="C792" s="20"/>
      <c r="D792" s="20"/>
      <c r="E792" s="20"/>
      <c r="F792" s="21"/>
      <c r="G792" s="21"/>
    </row>
    <row r="793" ht="15.75" customHeight="1">
      <c r="C793" s="20"/>
      <c r="D793" s="20"/>
      <c r="E793" s="20"/>
      <c r="F793" s="21"/>
      <c r="G793" s="21"/>
    </row>
    <row r="794" ht="15.75" customHeight="1">
      <c r="C794" s="20"/>
      <c r="D794" s="20"/>
      <c r="E794" s="20"/>
      <c r="F794" s="21"/>
      <c r="G794" s="21"/>
    </row>
    <row r="795" ht="15.75" customHeight="1">
      <c r="C795" s="20"/>
      <c r="D795" s="20"/>
      <c r="E795" s="20"/>
      <c r="F795" s="21"/>
      <c r="G795" s="21"/>
    </row>
    <row r="796" ht="15.75" customHeight="1">
      <c r="C796" s="20"/>
      <c r="D796" s="20"/>
      <c r="E796" s="20"/>
      <c r="F796" s="21"/>
      <c r="G796" s="21"/>
    </row>
    <row r="797" ht="15.75" customHeight="1">
      <c r="C797" s="20"/>
      <c r="D797" s="20"/>
      <c r="E797" s="20"/>
      <c r="F797" s="21"/>
      <c r="G797" s="21"/>
    </row>
    <row r="798" ht="15.75" customHeight="1">
      <c r="C798" s="20"/>
      <c r="D798" s="20"/>
      <c r="E798" s="20"/>
      <c r="F798" s="21"/>
      <c r="G798" s="21"/>
    </row>
    <row r="799" ht="15.75" customHeight="1">
      <c r="C799" s="20"/>
      <c r="D799" s="20"/>
      <c r="E799" s="20"/>
      <c r="F799" s="21"/>
      <c r="G799" s="21"/>
    </row>
    <row r="800" ht="15.75" customHeight="1">
      <c r="C800" s="20"/>
      <c r="D800" s="20"/>
      <c r="E800" s="20"/>
      <c r="F800" s="21"/>
      <c r="G800" s="21"/>
    </row>
    <row r="801" ht="15.75" customHeight="1">
      <c r="C801" s="20"/>
      <c r="D801" s="20"/>
      <c r="E801" s="20"/>
      <c r="F801" s="21"/>
      <c r="G801" s="21"/>
    </row>
    <row r="802" ht="15.75" customHeight="1">
      <c r="C802" s="20"/>
      <c r="D802" s="20"/>
      <c r="E802" s="20"/>
      <c r="F802" s="21"/>
      <c r="G802" s="21"/>
    </row>
    <row r="803" ht="15.75" customHeight="1">
      <c r="C803" s="20"/>
      <c r="D803" s="20"/>
      <c r="E803" s="20"/>
      <c r="F803" s="21"/>
      <c r="G803" s="21"/>
    </row>
    <row r="804" ht="15.75" customHeight="1">
      <c r="C804" s="20"/>
      <c r="D804" s="20"/>
      <c r="E804" s="20"/>
      <c r="F804" s="21"/>
      <c r="G804" s="21"/>
    </row>
    <row r="805" ht="15.75" customHeight="1">
      <c r="C805" s="20"/>
      <c r="D805" s="20"/>
      <c r="E805" s="20"/>
      <c r="F805" s="21"/>
      <c r="G805" s="21"/>
    </row>
    <row r="806" ht="15.75" customHeight="1">
      <c r="C806" s="20"/>
      <c r="D806" s="20"/>
      <c r="E806" s="20"/>
      <c r="F806" s="21"/>
      <c r="G806" s="21"/>
    </row>
    <row r="807" ht="15.75" customHeight="1">
      <c r="C807" s="20"/>
      <c r="D807" s="20"/>
      <c r="E807" s="20"/>
      <c r="F807" s="21"/>
      <c r="G807" s="21"/>
    </row>
    <row r="808" ht="15.75" customHeight="1">
      <c r="C808" s="20"/>
      <c r="D808" s="20"/>
      <c r="E808" s="20"/>
      <c r="F808" s="21"/>
      <c r="G808" s="21"/>
    </row>
    <row r="809" ht="15.75" customHeight="1">
      <c r="C809" s="20"/>
      <c r="D809" s="20"/>
      <c r="E809" s="20"/>
      <c r="F809" s="21"/>
      <c r="G809" s="21"/>
    </row>
    <row r="810" ht="15.75" customHeight="1">
      <c r="C810" s="20"/>
      <c r="D810" s="20"/>
      <c r="E810" s="20"/>
      <c r="F810" s="21"/>
      <c r="G810" s="21"/>
    </row>
    <row r="811" ht="15.75" customHeight="1">
      <c r="C811" s="20"/>
      <c r="D811" s="20"/>
      <c r="E811" s="20"/>
      <c r="F811" s="21"/>
      <c r="G811" s="21"/>
    </row>
    <row r="812" ht="15.75" customHeight="1">
      <c r="C812" s="20"/>
      <c r="D812" s="20"/>
      <c r="E812" s="20"/>
      <c r="F812" s="21"/>
      <c r="G812" s="21"/>
    </row>
    <row r="813" ht="15.75" customHeight="1">
      <c r="C813" s="20"/>
      <c r="D813" s="20"/>
      <c r="E813" s="20"/>
      <c r="F813" s="21"/>
      <c r="G813" s="21"/>
    </row>
    <row r="814" ht="15.75" customHeight="1">
      <c r="C814" s="20"/>
      <c r="D814" s="20"/>
      <c r="E814" s="20"/>
      <c r="F814" s="21"/>
      <c r="G814" s="21"/>
    </row>
    <row r="815" ht="15.75" customHeight="1">
      <c r="C815" s="20"/>
      <c r="D815" s="20"/>
      <c r="E815" s="20"/>
      <c r="F815" s="21"/>
      <c r="G815" s="21"/>
    </row>
    <row r="816" ht="15.75" customHeight="1">
      <c r="C816" s="20"/>
      <c r="D816" s="20"/>
      <c r="E816" s="20"/>
      <c r="F816" s="21"/>
      <c r="G816" s="21"/>
    </row>
    <row r="817" ht="15.75" customHeight="1">
      <c r="C817" s="20"/>
      <c r="D817" s="20"/>
      <c r="E817" s="20"/>
      <c r="F817" s="21"/>
      <c r="G817" s="21"/>
    </row>
    <row r="818" ht="15.75" customHeight="1">
      <c r="C818" s="20"/>
      <c r="D818" s="20"/>
      <c r="E818" s="20"/>
      <c r="F818" s="21"/>
      <c r="G818" s="21"/>
    </row>
    <row r="819" ht="15.75" customHeight="1">
      <c r="C819" s="20"/>
      <c r="D819" s="20"/>
      <c r="E819" s="20"/>
      <c r="F819" s="21"/>
      <c r="G819" s="21"/>
    </row>
    <row r="820" ht="15.75" customHeight="1">
      <c r="C820" s="20"/>
      <c r="D820" s="20"/>
      <c r="E820" s="20"/>
      <c r="F820" s="21"/>
      <c r="G820" s="21"/>
    </row>
    <row r="821" ht="15.75" customHeight="1">
      <c r="C821" s="20"/>
      <c r="D821" s="20"/>
      <c r="E821" s="20"/>
      <c r="F821" s="21"/>
      <c r="G821" s="21"/>
    </row>
    <row r="822" ht="15.75" customHeight="1">
      <c r="C822" s="20"/>
      <c r="D822" s="20"/>
      <c r="E822" s="20"/>
      <c r="F822" s="21"/>
      <c r="G822" s="21"/>
    </row>
    <row r="823" ht="15.75" customHeight="1">
      <c r="C823" s="20"/>
      <c r="D823" s="20"/>
      <c r="E823" s="20"/>
      <c r="F823" s="21"/>
      <c r="G823" s="21"/>
    </row>
    <row r="824" ht="15.75" customHeight="1">
      <c r="C824" s="20"/>
      <c r="D824" s="20"/>
      <c r="E824" s="20"/>
      <c r="F824" s="21"/>
      <c r="G824" s="21"/>
    </row>
    <row r="825" ht="15.75" customHeight="1">
      <c r="C825" s="20"/>
      <c r="D825" s="20"/>
      <c r="E825" s="20"/>
      <c r="F825" s="21"/>
      <c r="G825" s="21"/>
    </row>
    <row r="826" ht="15.75" customHeight="1">
      <c r="C826" s="20"/>
      <c r="D826" s="20"/>
      <c r="E826" s="20"/>
      <c r="F826" s="21"/>
      <c r="G826" s="21"/>
    </row>
    <row r="827" ht="15.75" customHeight="1">
      <c r="C827" s="20"/>
      <c r="D827" s="20"/>
      <c r="E827" s="20"/>
      <c r="F827" s="21"/>
      <c r="G827" s="21"/>
    </row>
    <row r="828" ht="15.75" customHeight="1">
      <c r="C828" s="20"/>
      <c r="D828" s="20"/>
      <c r="E828" s="20"/>
      <c r="F828" s="21"/>
      <c r="G828" s="21"/>
    </row>
    <row r="829" ht="15.75" customHeight="1">
      <c r="C829" s="20"/>
      <c r="D829" s="20"/>
      <c r="E829" s="20"/>
      <c r="F829" s="21"/>
      <c r="G829" s="21"/>
    </row>
    <row r="830" ht="15.75" customHeight="1">
      <c r="C830" s="20"/>
      <c r="D830" s="20"/>
      <c r="E830" s="20"/>
      <c r="F830" s="21"/>
      <c r="G830" s="21"/>
    </row>
    <row r="831" ht="15.75" customHeight="1">
      <c r="C831" s="20"/>
      <c r="D831" s="20"/>
      <c r="E831" s="20"/>
      <c r="F831" s="21"/>
      <c r="G831" s="21"/>
    </row>
    <row r="832" ht="15.75" customHeight="1">
      <c r="C832" s="20"/>
      <c r="D832" s="20"/>
      <c r="E832" s="20"/>
      <c r="F832" s="21"/>
      <c r="G832" s="21"/>
    </row>
    <row r="833" ht="15.75" customHeight="1">
      <c r="C833" s="20"/>
      <c r="D833" s="20"/>
      <c r="E833" s="20"/>
      <c r="F833" s="21"/>
      <c r="G833" s="21"/>
    </row>
    <row r="834" ht="15.75" customHeight="1">
      <c r="C834" s="20"/>
      <c r="D834" s="20"/>
      <c r="E834" s="20"/>
      <c r="F834" s="21"/>
      <c r="G834" s="21"/>
    </row>
    <row r="835" ht="15.75" customHeight="1">
      <c r="C835" s="20"/>
      <c r="D835" s="20"/>
      <c r="E835" s="20"/>
      <c r="F835" s="21"/>
      <c r="G835" s="21"/>
    </row>
    <row r="836" ht="15.75" customHeight="1">
      <c r="C836" s="20"/>
      <c r="D836" s="20"/>
      <c r="E836" s="20"/>
      <c r="F836" s="21"/>
      <c r="G836" s="21"/>
    </row>
    <row r="837" ht="15.75" customHeight="1">
      <c r="C837" s="20"/>
      <c r="D837" s="20"/>
      <c r="E837" s="20"/>
      <c r="F837" s="21"/>
      <c r="G837" s="21"/>
    </row>
    <row r="838" ht="15.75" customHeight="1">
      <c r="C838" s="20"/>
      <c r="D838" s="20"/>
      <c r="E838" s="20"/>
      <c r="F838" s="21"/>
      <c r="G838" s="21"/>
    </row>
    <row r="839" ht="15.75" customHeight="1">
      <c r="C839" s="20"/>
      <c r="D839" s="20"/>
      <c r="E839" s="20"/>
      <c r="F839" s="21"/>
      <c r="G839" s="21"/>
    </row>
    <row r="840" ht="15.75" customHeight="1">
      <c r="C840" s="20"/>
      <c r="D840" s="20"/>
      <c r="E840" s="20"/>
      <c r="F840" s="21"/>
      <c r="G840" s="21"/>
    </row>
    <row r="841" ht="15.75" customHeight="1">
      <c r="C841" s="20"/>
      <c r="D841" s="20"/>
      <c r="E841" s="20"/>
      <c r="F841" s="21"/>
      <c r="G841" s="21"/>
    </row>
    <row r="842" ht="15.75" customHeight="1">
      <c r="C842" s="20"/>
      <c r="D842" s="20"/>
      <c r="E842" s="20"/>
      <c r="F842" s="21"/>
      <c r="G842" s="21"/>
    </row>
    <row r="843" ht="15.75" customHeight="1">
      <c r="C843" s="20"/>
      <c r="D843" s="20"/>
      <c r="E843" s="20"/>
      <c r="F843" s="21"/>
      <c r="G843" s="21"/>
    </row>
    <row r="844" ht="15.75" customHeight="1">
      <c r="C844" s="20"/>
      <c r="D844" s="20"/>
      <c r="E844" s="20"/>
      <c r="F844" s="21"/>
      <c r="G844" s="21"/>
    </row>
    <row r="845" ht="15.75" customHeight="1">
      <c r="C845" s="20"/>
      <c r="D845" s="20"/>
      <c r="E845" s="20"/>
      <c r="F845" s="21"/>
      <c r="G845" s="21"/>
    </row>
    <row r="846" ht="15.75" customHeight="1">
      <c r="C846" s="20"/>
      <c r="D846" s="20"/>
      <c r="E846" s="20"/>
      <c r="F846" s="21"/>
      <c r="G846" s="21"/>
    </row>
    <row r="847" ht="15.75" customHeight="1">
      <c r="C847" s="20"/>
      <c r="D847" s="20"/>
      <c r="E847" s="20"/>
      <c r="F847" s="21"/>
      <c r="G847" s="21"/>
    </row>
    <row r="848" ht="15.75" customHeight="1">
      <c r="C848" s="20"/>
      <c r="D848" s="20"/>
      <c r="E848" s="20"/>
      <c r="F848" s="21"/>
      <c r="G848" s="21"/>
    </row>
    <row r="849" ht="15.75" customHeight="1">
      <c r="C849" s="20"/>
      <c r="D849" s="20"/>
      <c r="E849" s="20"/>
      <c r="F849" s="21"/>
      <c r="G849" s="21"/>
    </row>
    <row r="850" ht="15.75" customHeight="1">
      <c r="C850" s="20"/>
      <c r="D850" s="20"/>
      <c r="E850" s="20"/>
      <c r="F850" s="21"/>
      <c r="G850" s="21"/>
    </row>
    <row r="851" ht="15.75" customHeight="1">
      <c r="C851" s="20"/>
      <c r="D851" s="20"/>
      <c r="E851" s="20"/>
      <c r="F851" s="21"/>
      <c r="G851" s="21"/>
    </row>
    <row r="852" ht="15.75" customHeight="1">
      <c r="C852" s="20"/>
      <c r="D852" s="20"/>
      <c r="E852" s="20"/>
      <c r="F852" s="21"/>
      <c r="G852" s="21"/>
    </row>
    <row r="853" ht="15.75" customHeight="1">
      <c r="C853" s="20"/>
      <c r="D853" s="20"/>
      <c r="E853" s="20"/>
      <c r="F853" s="21"/>
      <c r="G853" s="21"/>
    </row>
    <row r="854" ht="15.75" customHeight="1">
      <c r="C854" s="20"/>
      <c r="D854" s="20"/>
      <c r="E854" s="20"/>
      <c r="F854" s="21"/>
      <c r="G854" s="21"/>
    </row>
    <row r="855" ht="15.75" customHeight="1">
      <c r="C855" s="20"/>
      <c r="D855" s="20"/>
      <c r="E855" s="20"/>
      <c r="F855" s="21"/>
      <c r="G855" s="21"/>
    </row>
    <row r="856" ht="15.75" customHeight="1">
      <c r="C856" s="20"/>
      <c r="D856" s="20"/>
      <c r="E856" s="20"/>
      <c r="F856" s="21"/>
      <c r="G856" s="21"/>
    </row>
    <row r="857" ht="15.75" customHeight="1">
      <c r="C857" s="20"/>
      <c r="D857" s="20"/>
      <c r="E857" s="20"/>
      <c r="F857" s="21"/>
      <c r="G857" s="21"/>
    </row>
    <row r="858" ht="15.75" customHeight="1">
      <c r="C858" s="20"/>
      <c r="D858" s="20"/>
      <c r="E858" s="20"/>
      <c r="F858" s="21"/>
      <c r="G858" s="21"/>
    </row>
    <row r="859" ht="15.75" customHeight="1">
      <c r="C859" s="20"/>
      <c r="D859" s="20"/>
      <c r="E859" s="20"/>
      <c r="F859" s="21"/>
      <c r="G859" s="21"/>
    </row>
    <row r="860" ht="15.75" customHeight="1">
      <c r="C860" s="20"/>
      <c r="D860" s="20"/>
      <c r="E860" s="20"/>
      <c r="F860" s="21"/>
      <c r="G860" s="21"/>
    </row>
    <row r="861" ht="15.75" customHeight="1">
      <c r="C861" s="20"/>
      <c r="D861" s="20"/>
      <c r="E861" s="20"/>
      <c r="F861" s="21"/>
      <c r="G861" s="21"/>
    </row>
    <row r="862" ht="15.75" customHeight="1">
      <c r="C862" s="20"/>
      <c r="D862" s="20"/>
      <c r="E862" s="20"/>
      <c r="F862" s="21"/>
      <c r="G862" s="21"/>
    </row>
    <row r="863" ht="15.75" customHeight="1">
      <c r="C863" s="20"/>
      <c r="D863" s="20"/>
      <c r="E863" s="20"/>
      <c r="F863" s="21"/>
      <c r="G863" s="21"/>
    </row>
    <row r="864" ht="15.75" customHeight="1">
      <c r="C864" s="20"/>
      <c r="D864" s="20"/>
      <c r="E864" s="20"/>
      <c r="F864" s="21"/>
      <c r="G864" s="21"/>
    </row>
    <row r="865" ht="15.75" customHeight="1">
      <c r="C865" s="20"/>
      <c r="D865" s="20"/>
      <c r="E865" s="20"/>
      <c r="F865" s="21"/>
      <c r="G865" s="21"/>
    </row>
    <row r="866" ht="15.75" customHeight="1">
      <c r="C866" s="20"/>
      <c r="D866" s="20"/>
      <c r="E866" s="20"/>
      <c r="F866" s="21"/>
      <c r="G866" s="21"/>
    </row>
    <row r="867" ht="15.75" customHeight="1">
      <c r="C867" s="20"/>
      <c r="D867" s="20"/>
      <c r="E867" s="20"/>
      <c r="F867" s="21"/>
      <c r="G867" s="21"/>
    </row>
    <row r="868" ht="15.75" customHeight="1">
      <c r="C868" s="20"/>
      <c r="D868" s="20"/>
      <c r="E868" s="20"/>
      <c r="F868" s="21"/>
      <c r="G868" s="21"/>
    </row>
    <row r="869" ht="15.75" customHeight="1">
      <c r="C869" s="20"/>
      <c r="D869" s="20"/>
      <c r="E869" s="20"/>
      <c r="F869" s="21"/>
      <c r="G869" s="21"/>
    </row>
    <row r="870" ht="15.75" customHeight="1">
      <c r="C870" s="20"/>
      <c r="D870" s="20"/>
      <c r="E870" s="20"/>
      <c r="F870" s="21"/>
      <c r="G870" s="21"/>
    </row>
    <row r="871" ht="15.75" customHeight="1">
      <c r="C871" s="20"/>
      <c r="D871" s="20"/>
      <c r="E871" s="20"/>
      <c r="F871" s="21"/>
      <c r="G871" s="21"/>
    </row>
    <row r="872" ht="15.75" customHeight="1">
      <c r="C872" s="20"/>
      <c r="D872" s="20"/>
      <c r="E872" s="20"/>
      <c r="F872" s="21"/>
      <c r="G872" s="21"/>
    </row>
    <row r="873" ht="15.75" customHeight="1">
      <c r="C873" s="20"/>
      <c r="D873" s="20"/>
      <c r="E873" s="20"/>
      <c r="F873" s="21"/>
      <c r="G873" s="21"/>
    </row>
    <row r="874" ht="15.75" customHeight="1">
      <c r="C874" s="20"/>
      <c r="D874" s="20"/>
      <c r="E874" s="20"/>
      <c r="F874" s="21"/>
      <c r="G874" s="21"/>
    </row>
    <row r="875" ht="15.75" customHeight="1">
      <c r="C875" s="20"/>
      <c r="D875" s="20"/>
      <c r="E875" s="20"/>
      <c r="F875" s="21"/>
      <c r="G875" s="21"/>
    </row>
    <row r="876" ht="15.75" customHeight="1">
      <c r="C876" s="20"/>
      <c r="D876" s="20"/>
      <c r="E876" s="20"/>
      <c r="F876" s="21"/>
      <c r="G876" s="21"/>
    </row>
    <row r="877" ht="15.75" customHeight="1">
      <c r="C877" s="20"/>
      <c r="D877" s="20"/>
      <c r="E877" s="20"/>
      <c r="F877" s="21"/>
      <c r="G877" s="21"/>
    </row>
    <row r="878" ht="15.75" customHeight="1">
      <c r="C878" s="20"/>
      <c r="D878" s="20"/>
      <c r="E878" s="20"/>
      <c r="F878" s="21"/>
      <c r="G878" s="21"/>
    </row>
    <row r="879" ht="15.75" customHeight="1">
      <c r="C879" s="20"/>
      <c r="D879" s="20"/>
      <c r="E879" s="20"/>
      <c r="F879" s="21"/>
      <c r="G879" s="21"/>
    </row>
    <row r="880" ht="15.75" customHeight="1">
      <c r="C880" s="20"/>
      <c r="D880" s="20"/>
      <c r="E880" s="20"/>
      <c r="F880" s="21"/>
      <c r="G880" s="21"/>
    </row>
    <row r="881" ht="15.75" customHeight="1">
      <c r="C881" s="20"/>
      <c r="D881" s="20"/>
      <c r="E881" s="20"/>
      <c r="F881" s="21"/>
      <c r="G881" s="21"/>
    </row>
    <row r="882" ht="15.75" customHeight="1">
      <c r="C882" s="20"/>
      <c r="D882" s="20"/>
      <c r="E882" s="20"/>
      <c r="F882" s="21"/>
      <c r="G882" s="21"/>
    </row>
    <row r="883" ht="15.75" customHeight="1">
      <c r="C883" s="20"/>
      <c r="D883" s="20"/>
      <c r="E883" s="20"/>
      <c r="F883" s="21"/>
      <c r="G883" s="21"/>
    </row>
    <row r="884" ht="15.75" customHeight="1">
      <c r="C884" s="20"/>
      <c r="D884" s="20"/>
      <c r="E884" s="20"/>
      <c r="F884" s="21"/>
      <c r="G884" s="21"/>
    </row>
    <row r="885" ht="15.75" customHeight="1">
      <c r="C885" s="20"/>
      <c r="D885" s="20"/>
      <c r="E885" s="20"/>
      <c r="F885" s="21"/>
      <c r="G885" s="21"/>
    </row>
    <row r="886" ht="15.75" customHeight="1">
      <c r="C886" s="20"/>
      <c r="D886" s="20"/>
      <c r="E886" s="20"/>
      <c r="F886" s="21"/>
      <c r="G886" s="21"/>
    </row>
    <row r="887" ht="15.75" customHeight="1">
      <c r="C887" s="20"/>
      <c r="D887" s="20"/>
      <c r="E887" s="20"/>
      <c r="F887" s="21"/>
      <c r="G887" s="21"/>
    </row>
    <row r="888" ht="15.75" customHeight="1">
      <c r="C888" s="20"/>
      <c r="D888" s="20"/>
      <c r="E888" s="20"/>
      <c r="F888" s="21"/>
      <c r="G888" s="21"/>
    </row>
    <row r="889" ht="15.75" customHeight="1">
      <c r="C889" s="20"/>
      <c r="D889" s="20"/>
      <c r="E889" s="20"/>
      <c r="F889" s="21"/>
      <c r="G889" s="21"/>
    </row>
    <row r="890" ht="15.75" customHeight="1">
      <c r="C890" s="20"/>
      <c r="D890" s="20"/>
      <c r="E890" s="20"/>
      <c r="F890" s="21"/>
      <c r="G890" s="21"/>
    </row>
    <row r="891" ht="15.75" customHeight="1">
      <c r="C891" s="20"/>
      <c r="D891" s="20"/>
      <c r="E891" s="20"/>
      <c r="F891" s="21"/>
      <c r="G891" s="21"/>
    </row>
    <row r="892" ht="15.75" customHeight="1">
      <c r="C892" s="20"/>
      <c r="D892" s="20"/>
      <c r="E892" s="20"/>
      <c r="F892" s="21"/>
      <c r="G892" s="21"/>
    </row>
    <row r="893" ht="15.75" customHeight="1">
      <c r="C893" s="20"/>
      <c r="D893" s="20"/>
      <c r="E893" s="20"/>
      <c r="F893" s="21"/>
      <c r="G893" s="21"/>
    </row>
    <row r="894" ht="15.75" customHeight="1">
      <c r="C894" s="20"/>
      <c r="D894" s="20"/>
      <c r="E894" s="20"/>
      <c r="F894" s="21"/>
      <c r="G894" s="21"/>
    </row>
    <row r="895" ht="15.75" customHeight="1">
      <c r="C895" s="20"/>
      <c r="D895" s="20"/>
      <c r="E895" s="20"/>
      <c r="F895" s="21"/>
      <c r="G895" s="21"/>
    </row>
    <row r="896" ht="15.75" customHeight="1">
      <c r="C896" s="20"/>
      <c r="D896" s="20"/>
      <c r="E896" s="20"/>
      <c r="F896" s="21"/>
      <c r="G896" s="21"/>
    </row>
    <row r="897" ht="15.75" customHeight="1">
      <c r="C897" s="20"/>
      <c r="D897" s="20"/>
      <c r="E897" s="20"/>
      <c r="F897" s="21"/>
      <c r="G897" s="21"/>
    </row>
    <row r="898" ht="15.75" customHeight="1">
      <c r="C898" s="20"/>
      <c r="D898" s="20"/>
      <c r="E898" s="20"/>
      <c r="F898" s="21"/>
      <c r="G898" s="21"/>
    </row>
    <row r="899" ht="15.75" customHeight="1">
      <c r="C899" s="20"/>
      <c r="D899" s="20"/>
      <c r="E899" s="20"/>
      <c r="F899" s="21"/>
      <c r="G899" s="21"/>
    </row>
    <row r="900" ht="15.75" customHeight="1">
      <c r="C900" s="20"/>
      <c r="D900" s="20"/>
      <c r="E900" s="20"/>
      <c r="F900" s="21"/>
      <c r="G900" s="21"/>
    </row>
    <row r="901" ht="15.75" customHeight="1">
      <c r="C901" s="20"/>
      <c r="D901" s="20"/>
      <c r="E901" s="20"/>
      <c r="F901" s="21"/>
      <c r="G901" s="21"/>
    </row>
    <row r="902" ht="15.75" customHeight="1">
      <c r="C902" s="20"/>
      <c r="D902" s="20"/>
      <c r="E902" s="20"/>
      <c r="F902" s="21"/>
      <c r="G902" s="21"/>
    </row>
    <row r="903" ht="15.75" customHeight="1">
      <c r="C903" s="20"/>
      <c r="D903" s="20"/>
      <c r="E903" s="20"/>
      <c r="F903" s="21"/>
      <c r="G903" s="21"/>
    </row>
    <row r="904" ht="15.75" customHeight="1">
      <c r="C904" s="20"/>
      <c r="D904" s="20"/>
      <c r="E904" s="20"/>
      <c r="F904" s="21"/>
      <c r="G904" s="21"/>
    </row>
    <row r="905" ht="15.75" customHeight="1">
      <c r="C905" s="20"/>
      <c r="D905" s="20"/>
      <c r="E905" s="20"/>
      <c r="F905" s="21"/>
      <c r="G905" s="21"/>
    </row>
    <row r="906" ht="15.75" customHeight="1">
      <c r="C906" s="20"/>
      <c r="D906" s="20"/>
      <c r="E906" s="20"/>
      <c r="F906" s="21"/>
      <c r="G906" s="21"/>
    </row>
    <row r="907" ht="15.75" customHeight="1">
      <c r="C907" s="20"/>
      <c r="D907" s="20"/>
      <c r="E907" s="20"/>
      <c r="F907" s="21"/>
      <c r="G907" s="21"/>
    </row>
    <row r="908" ht="15.75" customHeight="1">
      <c r="C908" s="20"/>
      <c r="D908" s="20"/>
      <c r="E908" s="20"/>
      <c r="F908" s="21"/>
      <c r="G908" s="21"/>
    </row>
    <row r="909" ht="15.75" customHeight="1">
      <c r="C909" s="20"/>
      <c r="D909" s="20"/>
      <c r="E909" s="20"/>
      <c r="F909" s="21"/>
      <c r="G909" s="21"/>
    </row>
    <row r="910" ht="15.75" customHeight="1">
      <c r="C910" s="20"/>
      <c r="D910" s="20"/>
      <c r="E910" s="20"/>
      <c r="F910" s="21"/>
      <c r="G910" s="21"/>
    </row>
    <row r="911" ht="15.75" customHeight="1">
      <c r="C911" s="20"/>
      <c r="D911" s="20"/>
      <c r="E911" s="20"/>
      <c r="F911" s="21"/>
      <c r="G911" s="21"/>
    </row>
    <row r="912" ht="15.75" customHeight="1">
      <c r="C912" s="20"/>
      <c r="D912" s="20"/>
      <c r="E912" s="20"/>
      <c r="F912" s="21"/>
      <c r="G912" s="21"/>
    </row>
    <row r="913" ht="15.75" customHeight="1">
      <c r="C913" s="20"/>
      <c r="D913" s="20"/>
      <c r="E913" s="20"/>
      <c r="F913" s="21"/>
      <c r="G913" s="21"/>
    </row>
    <row r="914" ht="15.75" customHeight="1">
      <c r="C914" s="20"/>
      <c r="D914" s="20"/>
      <c r="E914" s="20"/>
      <c r="F914" s="21"/>
      <c r="G914" s="21"/>
    </row>
    <row r="915" ht="15.75" customHeight="1">
      <c r="C915" s="20"/>
      <c r="D915" s="20"/>
      <c r="E915" s="20"/>
      <c r="F915" s="21"/>
      <c r="G915" s="21"/>
    </row>
    <row r="916" ht="15.75" customHeight="1">
      <c r="C916" s="20"/>
      <c r="D916" s="20"/>
      <c r="E916" s="20"/>
      <c r="F916" s="21"/>
      <c r="G916" s="21"/>
    </row>
    <row r="917" ht="15.75" customHeight="1">
      <c r="C917" s="20"/>
      <c r="D917" s="20"/>
      <c r="E917" s="20"/>
      <c r="F917" s="21"/>
      <c r="G917" s="21"/>
    </row>
    <row r="918" ht="15.75" customHeight="1">
      <c r="C918" s="20"/>
      <c r="D918" s="20"/>
      <c r="E918" s="20"/>
      <c r="F918" s="21"/>
      <c r="G918" s="21"/>
    </row>
    <row r="919" ht="15.75" customHeight="1">
      <c r="C919" s="20"/>
      <c r="D919" s="20"/>
      <c r="E919" s="20"/>
      <c r="F919" s="21"/>
      <c r="G919" s="21"/>
    </row>
    <row r="920" ht="15.75" customHeight="1">
      <c r="C920" s="20"/>
      <c r="D920" s="20"/>
      <c r="E920" s="20"/>
      <c r="F920" s="21"/>
      <c r="G920" s="21"/>
    </row>
    <row r="921" ht="15.75" customHeight="1">
      <c r="C921" s="20"/>
      <c r="D921" s="20"/>
      <c r="E921" s="20"/>
      <c r="F921" s="21"/>
      <c r="G921" s="21"/>
    </row>
    <row r="922" ht="15.75" customHeight="1">
      <c r="C922" s="20"/>
      <c r="D922" s="20"/>
      <c r="E922" s="20"/>
      <c r="F922" s="21"/>
      <c r="G922" s="21"/>
    </row>
    <row r="923" ht="15.75" customHeight="1">
      <c r="C923" s="20"/>
      <c r="D923" s="20"/>
      <c r="E923" s="20"/>
      <c r="F923" s="21"/>
      <c r="G923" s="21"/>
    </row>
    <row r="924" ht="15.75" customHeight="1">
      <c r="C924" s="20"/>
      <c r="D924" s="20"/>
      <c r="E924" s="20"/>
      <c r="F924" s="21"/>
      <c r="G924" s="21"/>
    </row>
    <row r="925" ht="15.75" customHeight="1">
      <c r="C925" s="20"/>
      <c r="D925" s="20"/>
      <c r="E925" s="20"/>
      <c r="F925" s="21"/>
      <c r="G925" s="21"/>
    </row>
    <row r="926" ht="15.75" customHeight="1">
      <c r="C926" s="20"/>
      <c r="D926" s="20"/>
      <c r="E926" s="20"/>
      <c r="F926" s="21"/>
      <c r="G926" s="21"/>
    </row>
    <row r="927" ht="15.75" customHeight="1">
      <c r="C927" s="20"/>
      <c r="D927" s="20"/>
      <c r="E927" s="20"/>
      <c r="F927" s="21"/>
      <c r="G927" s="21"/>
    </row>
    <row r="928" ht="15.75" customHeight="1">
      <c r="C928" s="20"/>
      <c r="D928" s="20"/>
      <c r="E928" s="20"/>
      <c r="F928" s="21"/>
      <c r="G928" s="21"/>
    </row>
    <row r="929" ht="15.75" customHeight="1">
      <c r="C929" s="20"/>
      <c r="D929" s="20"/>
      <c r="E929" s="20"/>
      <c r="F929" s="21"/>
      <c r="G929" s="21"/>
    </row>
    <row r="930" ht="15.75" customHeight="1">
      <c r="C930" s="20"/>
      <c r="D930" s="20"/>
      <c r="E930" s="20"/>
      <c r="F930" s="21"/>
      <c r="G930" s="21"/>
    </row>
    <row r="931" ht="15.75" customHeight="1">
      <c r="C931" s="20"/>
      <c r="D931" s="20"/>
      <c r="E931" s="20"/>
      <c r="F931" s="21"/>
      <c r="G931" s="21"/>
    </row>
    <row r="932" ht="15.75" customHeight="1">
      <c r="C932" s="20"/>
      <c r="D932" s="20"/>
      <c r="E932" s="20"/>
      <c r="F932" s="21"/>
      <c r="G932" s="21"/>
    </row>
    <row r="933" ht="15.75" customHeight="1">
      <c r="C933" s="20"/>
      <c r="D933" s="20"/>
      <c r="E933" s="20"/>
      <c r="F933" s="21"/>
      <c r="G933" s="21"/>
    </row>
    <row r="934" ht="15.75" customHeight="1">
      <c r="C934" s="20"/>
      <c r="D934" s="20"/>
      <c r="E934" s="20"/>
      <c r="F934" s="21"/>
      <c r="G934" s="21"/>
    </row>
    <row r="935" ht="15.75" customHeight="1">
      <c r="C935" s="20"/>
      <c r="D935" s="20"/>
      <c r="E935" s="20"/>
      <c r="F935" s="21"/>
      <c r="G935" s="21"/>
    </row>
    <row r="936" ht="15.75" customHeight="1">
      <c r="C936" s="20"/>
      <c r="D936" s="20"/>
      <c r="E936" s="20"/>
      <c r="F936" s="21"/>
      <c r="G936" s="21"/>
    </row>
    <row r="937" ht="15.75" customHeight="1">
      <c r="C937" s="20"/>
      <c r="D937" s="20"/>
      <c r="E937" s="20"/>
      <c r="F937" s="21"/>
      <c r="G937" s="21"/>
    </row>
    <row r="938" ht="15.75" customHeight="1">
      <c r="C938" s="20"/>
      <c r="D938" s="20"/>
      <c r="E938" s="20"/>
      <c r="F938" s="21"/>
      <c r="G938" s="21"/>
    </row>
    <row r="939" ht="15.75" customHeight="1">
      <c r="C939" s="20"/>
      <c r="D939" s="20"/>
      <c r="E939" s="20"/>
      <c r="F939" s="21"/>
      <c r="G939" s="21"/>
    </row>
    <row r="940" ht="15.75" customHeight="1">
      <c r="C940" s="20"/>
      <c r="D940" s="20"/>
      <c r="E940" s="20"/>
      <c r="F940" s="21"/>
      <c r="G940" s="21"/>
    </row>
    <row r="941" ht="15.75" customHeight="1">
      <c r="C941" s="20"/>
      <c r="D941" s="20"/>
      <c r="E941" s="20"/>
      <c r="F941" s="21"/>
      <c r="G941" s="21"/>
    </row>
    <row r="942" ht="15.75" customHeight="1">
      <c r="C942" s="20"/>
      <c r="D942" s="20"/>
      <c r="E942" s="20"/>
      <c r="F942" s="21"/>
      <c r="G942" s="21"/>
    </row>
    <row r="943" ht="15.75" customHeight="1">
      <c r="C943" s="20"/>
      <c r="D943" s="20"/>
      <c r="E943" s="20"/>
      <c r="F943" s="21"/>
      <c r="G943" s="21"/>
    </row>
    <row r="944" ht="15.75" customHeight="1">
      <c r="C944" s="20"/>
      <c r="D944" s="20"/>
      <c r="E944" s="20"/>
      <c r="F944" s="21"/>
      <c r="G944" s="21"/>
    </row>
    <row r="945" ht="15.75" customHeight="1">
      <c r="C945" s="20"/>
      <c r="D945" s="20"/>
      <c r="E945" s="20"/>
      <c r="F945" s="21"/>
      <c r="G945" s="21"/>
    </row>
    <row r="946" ht="15.75" customHeight="1">
      <c r="C946" s="20"/>
      <c r="D946" s="20"/>
      <c r="E946" s="20"/>
      <c r="F946" s="21"/>
      <c r="G946" s="21"/>
    </row>
    <row r="947" ht="15.75" customHeight="1">
      <c r="C947" s="20"/>
      <c r="D947" s="20"/>
      <c r="E947" s="20"/>
      <c r="F947" s="21"/>
      <c r="G947" s="21"/>
    </row>
    <row r="948" ht="15.75" customHeight="1">
      <c r="C948" s="20"/>
      <c r="D948" s="20"/>
      <c r="E948" s="20"/>
      <c r="F948" s="21"/>
      <c r="G948" s="21"/>
    </row>
    <row r="949" ht="15.75" customHeight="1">
      <c r="C949" s="20"/>
      <c r="D949" s="20"/>
      <c r="E949" s="20"/>
      <c r="F949" s="21"/>
      <c r="G949" s="21"/>
    </row>
    <row r="950" ht="15.75" customHeight="1">
      <c r="C950" s="20"/>
      <c r="D950" s="20"/>
      <c r="E950" s="20"/>
      <c r="F950" s="21"/>
      <c r="G950" s="21"/>
    </row>
    <row r="951" ht="15.75" customHeight="1">
      <c r="C951" s="20"/>
      <c r="D951" s="20"/>
      <c r="E951" s="20"/>
      <c r="F951" s="21"/>
      <c r="G951" s="21"/>
    </row>
    <row r="952" ht="15.75" customHeight="1">
      <c r="C952" s="20"/>
      <c r="D952" s="20"/>
      <c r="E952" s="20"/>
      <c r="F952" s="21"/>
      <c r="G952" s="21"/>
    </row>
    <row r="953" ht="15.75" customHeight="1">
      <c r="C953" s="20"/>
      <c r="D953" s="20"/>
      <c r="E953" s="20"/>
      <c r="F953" s="21"/>
      <c r="G953" s="21"/>
    </row>
    <row r="954" ht="15.75" customHeight="1">
      <c r="C954" s="20"/>
      <c r="D954" s="20"/>
      <c r="E954" s="20"/>
      <c r="F954" s="21"/>
      <c r="G954" s="21"/>
    </row>
    <row r="955" ht="15.75" customHeight="1">
      <c r="C955" s="20"/>
      <c r="D955" s="20"/>
      <c r="E955" s="20"/>
      <c r="F955" s="21"/>
      <c r="G955" s="21"/>
    </row>
    <row r="956" ht="15.75" customHeight="1">
      <c r="C956" s="20"/>
      <c r="D956" s="20"/>
      <c r="E956" s="20"/>
      <c r="F956" s="21"/>
      <c r="G956" s="21"/>
    </row>
    <row r="957" ht="15.75" customHeight="1">
      <c r="C957" s="20"/>
      <c r="D957" s="20"/>
      <c r="E957" s="20"/>
      <c r="F957" s="21"/>
      <c r="G957" s="21"/>
    </row>
    <row r="958" ht="15.75" customHeight="1">
      <c r="C958" s="20"/>
      <c r="D958" s="20"/>
      <c r="E958" s="20"/>
      <c r="F958" s="21"/>
      <c r="G958" s="21"/>
    </row>
    <row r="959" ht="15.75" customHeight="1">
      <c r="C959" s="20"/>
      <c r="D959" s="20"/>
      <c r="E959" s="20"/>
      <c r="F959" s="21"/>
      <c r="G959" s="21"/>
    </row>
    <row r="960" ht="15.75" customHeight="1">
      <c r="C960" s="20"/>
      <c r="D960" s="20"/>
      <c r="E960" s="20"/>
      <c r="F960" s="21"/>
      <c r="G960" s="21"/>
    </row>
    <row r="961" ht="15.75" customHeight="1">
      <c r="C961" s="20"/>
      <c r="D961" s="20"/>
      <c r="E961" s="20"/>
      <c r="F961" s="21"/>
      <c r="G961" s="21"/>
    </row>
    <row r="962" ht="15.75" customHeight="1">
      <c r="C962" s="20"/>
      <c r="D962" s="20"/>
      <c r="E962" s="20"/>
      <c r="F962" s="21"/>
      <c r="G962" s="21"/>
    </row>
    <row r="963" ht="15.75" customHeight="1">
      <c r="C963" s="20"/>
      <c r="D963" s="20"/>
      <c r="E963" s="20"/>
      <c r="F963" s="21"/>
      <c r="G963" s="21"/>
    </row>
    <row r="964" ht="15.75" customHeight="1">
      <c r="C964" s="20"/>
      <c r="D964" s="20"/>
      <c r="E964" s="20"/>
      <c r="F964" s="21"/>
      <c r="G964" s="21"/>
    </row>
    <row r="965" ht="15.75" customHeight="1">
      <c r="C965" s="20"/>
      <c r="D965" s="20"/>
      <c r="E965" s="20"/>
      <c r="F965" s="21"/>
      <c r="G965" s="21"/>
    </row>
    <row r="966" ht="15.75" customHeight="1">
      <c r="C966" s="20"/>
      <c r="D966" s="20"/>
      <c r="E966" s="20"/>
      <c r="F966" s="21"/>
      <c r="G966" s="21"/>
    </row>
    <row r="967" ht="15.75" customHeight="1">
      <c r="C967" s="20"/>
      <c r="D967" s="20"/>
      <c r="E967" s="20"/>
      <c r="F967" s="21"/>
      <c r="G967" s="21"/>
    </row>
    <row r="968" ht="15.75" customHeight="1">
      <c r="C968" s="20"/>
      <c r="D968" s="20"/>
      <c r="E968" s="20"/>
      <c r="F968" s="21"/>
      <c r="G968" s="21"/>
    </row>
    <row r="969" ht="15.75" customHeight="1">
      <c r="C969" s="20"/>
      <c r="D969" s="20"/>
      <c r="E969" s="20"/>
      <c r="F969" s="21"/>
      <c r="G969" s="21"/>
    </row>
    <row r="970" ht="15.75" customHeight="1">
      <c r="C970" s="20"/>
      <c r="D970" s="20"/>
      <c r="E970" s="20"/>
      <c r="F970" s="21"/>
      <c r="G970" s="21"/>
    </row>
    <row r="971" ht="15.75" customHeight="1">
      <c r="C971" s="20"/>
      <c r="D971" s="20"/>
      <c r="E971" s="20"/>
      <c r="F971" s="21"/>
      <c r="G971" s="21"/>
    </row>
    <row r="972" ht="15.75" customHeight="1">
      <c r="C972" s="20"/>
      <c r="D972" s="20"/>
      <c r="E972" s="20"/>
      <c r="F972" s="21"/>
      <c r="G972" s="21"/>
    </row>
    <row r="973" ht="15.75" customHeight="1">
      <c r="C973" s="20"/>
      <c r="D973" s="20"/>
      <c r="E973" s="20"/>
      <c r="F973" s="21"/>
      <c r="G973" s="21"/>
    </row>
    <row r="974" ht="15.75" customHeight="1">
      <c r="C974" s="20"/>
      <c r="D974" s="20"/>
      <c r="E974" s="20"/>
      <c r="F974" s="21"/>
      <c r="G974" s="21"/>
    </row>
    <row r="975" ht="15.75" customHeight="1">
      <c r="C975" s="20"/>
      <c r="D975" s="20"/>
      <c r="E975" s="20"/>
      <c r="F975" s="21"/>
      <c r="G975" s="21"/>
    </row>
    <row r="976" ht="15.75" customHeight="1">
      <c r="C976" s="20"/>
      <c r="D976" s="20"/>
      <c r="E976" s="20"/>
      <c r="F976" s="21"/>
      <c r="G976" s="21"/>
    </row>
    <row r="977" ht="15.75" customHeight="1">
      <c r="C977" s="20"/>
      <c r="D977" s="20"/>
      <c r="E977" s="20"/>
      <c r="F977" s="21"/>
      <c r="G977" s="21"/>
    </row>
    <row r="978" ht="15.75" customHeight="1">
      <c r="C978" s="20"/>
      <c r="D978" s="20"/>
      <c r="E978" s="20"/>
      <c r="F978" s="21"/>
      <c r="G978" s="21"/>
    </row>
    <row r="979" ht="15.75" customHeight="1">
      <c r="C979" s="20"/>
      <c r="D979" s="20"/>
      <c r="E979" s="20"/>
      <c r="F979" s="21"/>
      <c r="G979" s="21"/>
    </row>
    <row r="980" ht="15.75" customHeight="1">
      <c r="C980" s="20"/>
      <c r="D980" s="20"/>
      <c r="E980" s="20"/>
      <c r="F980" s="21"/>
      <c r="G980" s="21"/>
    </row>
    <row r="981" ht="15.75" customHeight="1">
      <c r="C981" s="20"/>
      <c r="D981" s="20"/>
      <c r="E981" s="20"/>
      <c r="F981" s="21"/>
      <c r="G981" s="21"/>
    </row>
    <row r="982" ht="15.75" customHeight="1">
      <c r="C982" s="20"/>
      <c r="D982" s="20"/>
      <c r="E982" s="20"/>
      <c r="F982" s="21"/>
      <c r="G982" s="21"/>
    </row>
    <row r="983" ht="15.75" customHeight="1">
      <c r="C983" s="20"/>
      <c r="D983" s="20"/>
      <c r="E983" s="20"/>
      <c r="F983" s="21"/>
      <c r="G983" s="21"/>
    </row>
    <row r="984" ht="15.75" customHeight="1">
      <c r="C984" s="20"/>
      <c r="D984" s="20"/>
      <c r="E984" s="20"/>
      <c r="F984" s="21"/>
      <c r="G984" s="21"/>
    </row>
    <row r="985" ht="15.75" customHeight="1">
      <c r="C985" s="20"/>
      <c r="D985" s="20"/>
      <c r="E985" s="20"/>
      <c r="F985" s="21"/>
      <c r="G985" s="21"/>
    </row>
    <row r="986" ht="15.75" customHeight="1">
      <c r="C986" s="20"/>
      <c r="D986" s="20"/>
      <c r="E986" s="20"/>
      <c r="F986" s="21"/>
      <c r="G986" s="21"/>
    </row>
    <row r="987" ht="15.75" customHeight="1">
      <c r="C987" s="20"/>
      <c r="D987" s="20"/>
      <c r="E987" s="20"/>
      <c r="F987" s="21"/>
      <c r="G987" s="21"/>
    </row>
    <row r="988" ht="15.75" customHeight="1">
      <c r="C988" s="20"/>
      <c r="D988" s="20"/>
      <c r="E988" s="20"/>
      <c r="F988" s="21"/>
      <c r="G988" s="21"/>
    </row>
    <row r="989" ht="15.75" customHeight="1">
      <c r="C989" s="20"/>
      <c r="D989" s="20"/>
      <c r="E989" s="20"/>
      <c r="F989" s="21"/>
      <c r="G989" s="21"/>
    </row>
    <row r="990" ht="15.75" customHeight="1">
      <c r="C990" s="20"/>
      <c r="D990" s="20"/>
      <c r="E990" s="20"/>
      <c r="F990" s="21"/>
      <c r="G990" s="21"/>
    </row>
    <row r="991" ht="15.75" customHeight="1">
      <c r="C991" s="20"/>
      <c r="D991" s="20"/>
      <c r="E991" s="20"/>
      <c r="F991" s="21"/>
      <c r="G991" s="21"/>
    </row>
    <row r="992" ht="15.75" customHeight="1">
      <c r="C992" s="20"/>
      <c r="D992" s="20"/>
      <c r="E992" s="20"/>
      <c r="F992" s="21"/>
      <c r="G992" s="21"/>
    </row>
    <row r="993" ht="15.75" customHeight="1">
      <c r="C993" s="20"/>
      <c r="D993" s="20"/>
      <c r="E993" s="20"/>
      <c r="F993" s="21"/>
      <c r="G993" s="21"/>
    </row>
    <row r="994" ht="15.75" customHeight="1">
      <c r="C994" s="20"/>
      <c r="D994" s="20"/>
      <c r="E994" s="20"/>
      <c r="F994" s="21"/>
      <c r="G994" s="21"/>
    </row>
    <row r="995" ht="15.75" customHeight="1">
      <c r="C995" s="20"/>
      <c r="D995" s="20"/>
      <c r="E995" s="20"/>
      <c r="F995" s="21"/>
      <c r="G995" s="21"/>
    </row>
    <row r="996" ht="15.75" customHeight="1">
      <c r="C996" s="20"/>
      <c r="D996" s="20"/>
      <c r="E996" s="20"/>
      <c r="F996" s="21"/>
      <c r="G996" s="21"/>
    </row>
    <row r="997" ht="15.75" customHeight="1">
      <c r="C997" s="20"/>
      <c r="D997" s="20"/>
      <c r="E997" s="20"/>
      <c r="F997" s="21"/>
      <c r="G997" s="21"/>
    </row>
    <row r="998" ht="15.75" customHeight="1">
      <c r="C998" s="20"/>
      <c r="D998" s="20"/>
      <c r="E998" s="20"/>
      <c r="F998" s="21"/>
      <c r="G998" s="21"/>
    </row>
    <row r="999" ht="15.75" customHeight="1">
      <c r="C999" s="20"/>
      <c r="D999" s="20"/>
      <c r="E999" s="20"/>
      <c r="F999" s="21"/>
      <c r="G999" s="21"/>
    </row>
    <row r="1000" ht="15.75" customHeight="1">
      <c r="C1000" s="20"/>
      <c r="D1000" s="20"/>
      <c r="E1000" s="20"/>
      <c r="F1000" s="21"/>
      <c r="G1000" s="21"/>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adam">
    <pageSetUpPr/>
  </sheetPr>
  <sheetViews>
    <sheetView workbookViewId="0">
      <pane xSplit="3.0" ySplit="3.0" topLeftCell="D4" activePane="bottomRight" state="frozen"/>
      <selection activeCell="D1" sqref="D1" pane="topRight"/>
      <selection activeCell="A4" sqref="A4" pane="bottomLeft"/>
      <selection activeCell="D4" sqref="D4" pane="bottomRight"/>
    </sheetView>
  </sheetViews>
  <sheetFormatPr customHeight="1" defaultColWidth="14.43" defaultRowHeight="15.0"/>
  <cols>
    <col customWidth="1" min="1" max="3" width="8.86"/>
    <col customWidth="1" min="4" max="4" width="10.86"/>
    <col customWidth="1" min="5" max="5" width="9.14"/>
    <col customWidth="1" min="6" max="6" width="10.86"/>
    <col customWidth="1" min="7" max="7" width="10.14"/>
    <col customWidth="1" min="8" max="8" width="8.29"/>
    <col customWidth="1" min="9" max="9" width="5.86"/>
    <col customWidth="1" min="10" max="11" width="6.43"/>
    <col customWidth="1" min="12" max="12" width="8.29"/>
    <col customWidth="1" min="13" max="13" width="13.14"/>
    <col customWidth="1" min="14" max="26" width="8.86"/>
  </cols>
  <sheetData>
    <row r="1">
      <c r="B1" s="14" t="s">
        <v>31</v>
      </c>
      <c r="C1" s="19">
        <v>3.11</v>
      </c>
      <c r="D1" s="20" t="s">
        <v>38</v>
      </c>
      <c r="E1" s="20"/>
      <c r="F1" s="21"/>
      <c r="G1" s="21"/>
      <c r="I1" s="14" t="s">
        <v>54</v>
      </c>
      <c r="J1" s="14">
        <v>0.9</v>
      </c>
      <c r="K1" s="14">
        <f>1-J1</f>
        <v>0.1</v>
      </c>
      <c r="L1" s="14">
        <v>0.9</v>
      </c>
      <c r="M1" s="14">
        <f>1-L1</f>
        <v>0.1</v>
      </c>
    </row>
    <row r="2">
      <c r="B2" s="14" t="s">
        <v>33</v>
      </c>
      <c r="C2" s="19">
        <v>2.62</v>
      </c>
      <c r="D2" s="14">
        <v>0.1</v>
      </c>
      <c r="E2" s="20"/>
      <c r="F2" s="22"/>
      <c r="G2" s="22"/>
    </row>
    <row r="3">
      <c r="A3" s="15" t="s">
        <v>35</v>
      </c>
      <c r="B3" s="15" t="s">
        <v>36</v>
      </c>
      <c r="C3" s="23" t="s">
        <v>31</v>
      </c>
      <c r="D3" s="23" t="s">
        <v>33</v>
      </c>
      <c r="E3" s="23" t="s">
        <v>55</v>
      </c>
      <c r="F3" s="24" t="s">
        <v>48</v>
      </c>
      <c r="G3" s="24" t="s">
        <v>49</v>
      </c>
      <c r="H3" s="15" t="s">
        <v>51</v>
      </c>
      <c r="I3" s="15" t="s">
        <v>50</v>
      </c>
      <c r="J3" s="14">
        <f t="shared" ref="J3:M3" si="1">J33</f>
        <v>1.887107354</v>
      </c>
      <c r="K3" s="14">
        <f t="shared" si="1"/>
        <v>167.3681217</v>
      </c>
      <c r="L3" s="26">
        <f t="shared" si="1"/>
        <v>40.89273608</v>
      </c>
      <c r="M3" s="26">
        <f t="shared" si="1"/>
        <v>275756.325</v>
      </c>
      <c r="P3" s="15"/>
      <c r="Q3" s="15"/>
      <c r="R3" s="15"/>
      <c r="S3" s="15"/>
      <c r="T3" s="15"/>
      <c r="U3" s="15"/>
      <c r="V3" s="15"/>
      <c r="W3" s="15"/>
      <c r="X3" s="15"/>
      <c r="Y3" s="15"/>
      <c r="Z3" s="15"/>
    </row>
    <row r="4">
      <c r="A4" s="14">
        <v>14.0</v>
      </c>
      <c r="B4" s="14">
        <v>58.0</v>
      </c>
      <c r="C4" s="20">
        <f>C1</f>
        <v>3.11</v>
      </c>
      <c r="D4" s="20">
        <f>C2</f>
        <v>2.62</v>
      </c>
      <c r="E4" s="20">
        <f t="shared" ref="E4:E32" si="6">C4+D4*A4</f>
        <v>39.79</v>
      </c>
      <c r="F4" s="21">
        <f t="shared" ref="F4:F32" si="7">2*(D4*A4+C4-B4)</f>
        <v>-36.42</v>
      </c>
      <c r="G4" s="21">
        <f t="shared" ref="G4:G32" si="8">F4*A4</f>
        <v>-509.88</v>
      </c>
      <c r="H4" s="17">
        <f t="shared" ref="H4:I4" si="2">C4-J4*$D$2/SQRT(L4)</f>
        <v>3.124931146</v>
      </c>
      <c r="I4" s="17">
        <f t="shared" si="2"/>
        <v>2.60097032</v>
      </c>
      <c r="J4" s="14">
        <f t="shared" ref="J4:K4" si="3">J3*$J$1+$K$1*F4</f>
        <v>-1.943603381</v>
      </c>
      <c r="K4" s="14">
        <f t="shared" si="3"/>
        <v>99.64330956</v>
      </c>
      <c r="L4" s="14">
        <f t="shared" ref="L4:M4" si="4">L3*$L$1+$M$1*F4^2</f>
        <v>169.4451025</v>
      </c>
      <c r="M4" s="14">
        <f t="shared" si="4"/>
        <v>274178.4539</v>
      </c>
    </row>
    <row r="5">
      <c r="A5" s="14">
        <v>86.0</v>
      </c>
      <c r="B5" s="14">
        <v>202.0</v>
      </c>
      <c r="C5" s="20">
        <f t="shared" ref="C5:D5" si="5">H4</f>
        <v>3.124931146</v>
      </c>
      <c r="D5" s="20">
        <f t="shared" si="5"/>
        <v>2.60097032</v>
      </c>
      <c r="E5" s="20">
        <f t="shared" si="6"/>
        <v>226.8083787</v>
      </c>
      <c r="F5" s="21">
        <f t="shared" si="7"/>
        <v>49.61675735</v>
      </c>
      <c r="G5" s="21">
        <f t="shared" si="8"/>
        <v>4267.041133</v>
      </c>
      <c r="H5" s="17">
        <f t="shared" ref="H5:I5" si="9">C5-J5*$D$2/SQRT(L5)</f>
        <v>3.108842472</v>
      </c>
      <c r="I5" s="17">
        <f t="shared" si="9"/>
        <v>2.565057735</v>
      </c>
      <c r="J5" s="14">
        <f t="shared" ref="J5:K5" si="10">J4*$J$1+$K$1*F5</f>
        <v>3.212432693</v>
      </c>
      <c r="K5" s="14">
        <f t="shared" si="10"/>
        <v>516.3830919</v>
      </c>
      <c r="L5" s="14">
        <f t="shared" ref="L5:M5" si="11">L4*$L$1+$M$1*F5^2</f>
        <v>398.6828533</v>
      </c>
      <c r="M5" s="14">
        <f t="shared" si="11"/>
        <v>2067524.611</v>
      </c>
    </row>
    <row r="6">
      <c r="A6" s="14">
        <v>28.0</v>
      </c>
      <c r="B6" s="14">
        <v>86.0</v>
      </c>
      <c r="C6" s="20">
        <f t="shared" ref="C6:D6" si="12">H5</f>
        <v>3.108842472</v>
      </c>
      <c r="D6" s="20">
        <f t="shared" si="12"/>
        <v>2.565057735</v>
      </c>
      <c r="E6" s="20">
        <f t="shared" si="6"/>
        <v>74.93045905</v>
      </c>
      <c r="F6" s="21">
        <f t="shared" si="7"/>
        <v>-22.1390819</v>
      </c>
      <c r="G6" s="21">
        <f t="shared" si="8"/>
        <v>-619.8942932</v>
      </c>
      <c r="H6" s="17">
        <f t="shared" ref="H6:I6" si="13">C6-J6*$D$2/SQRT(L6)</f>
        <v>3.105488725</v>
      </c>
      <c r="I6" s="17">
        <f t="shared" si="13"/>
        <v>2.53583263</v>
      </c>
      <c r="J6" s="14">
        <f t="shared" ref="J6:K6" si="14">J5*$J$1+$K$1*F6</f>
        <v>0.6772812332</v>
      </c>
      <c r="K6" s="14">
        <f t="shared" si="14"/>
        <v>402.7553533</v>
      </c>
      <c r="L6" s="14">
        <f t="shared" ref="L6:M6" si="15">L5*$L$1+$M$1*F6^2</f>
        <v>407.8284627</v>
      </c>
      <c r="M6" s="14">
        <f t="shared" si="15"/>
        <v>1899199.044</v>
      </c>
    </row>
    <row r="7">
      <c r="A7" s="14">
        <v>51.0</v>
      </c>
      <c r="B7" s="14">
        <v>132.0</v>
      </c>
      <c r="C7" s="20">
        <f t="shared" ref="C7:D7" si="16">H6</f>
        <v>3.105488725</v>
      </c>
      <c r="D7" s="20">
        <f t="shared" si="16"/>
        <v>2.53583263</v>
      </c>
      <c r="E7" s="20">
        <f t="shared" si="6"/>
        <v>132.4329529</v>
      </c>
      <c r="F7" s="21">
        <f t="shared" si="7"/>
        <v>0.8659057005</v>
      </c>
      <c r="G7" s="21">
        <f t="shared" si="8"/>
        <v>44.16119072</v>
      </c>
      <c r="H7" s="17">
        <f t="shared" ref="H7:I7" si="17">C7-J7*$D$2/SQRT(L7)</f>
        <v>3.101855481</v>
      </c>
      <c r="I7" s="17">
        <f t="shared" si="17"/>
        <v>2.507771081</v>
      </c>
      <c r="J7" s="14">
        <f t="shared" ref="J7:K7" si="18">J6*$J$1+$K$1*F7</f>
        <v>0.6961436799</v>
      </c>
      <c r="K7" s="14">
        <f t="shared" si="18"/>
        <v>366.8959371</v>
      </c>
      <c r="L7" s="14">
        <f t="shared" ref="L7:M7" si="19">L6*$L$1+$M$1*F7^2</f>
        <v>367.1205957</v>
      </c>
      <c r="M7" s="14">
        <f t="shared" si="19"/>
        <v>1709474.16</v>
      </c>
    </row>
    <row r="8">
      <c r="A8" s="14">
        <v>28.0</v>
      </c>
      <c r="B8" s="14">
        <v>86.0</v>
      </c>
      <c r="C8" s="20">
        <f t="shared" ref="C8:D8" si="20">H7</f>
        <v>3.101855481</v>
      </c>
      <c r="D8" s="20">
        <f t="shared" si="20"/>
        <v>2.507771081</v>
      </c>
      <c r="E8" s="20">
        <f t="shared" si="6"/>
        <v>73.31944576</v>
      </c>
      <c r="F8" s="21">
        <f t="shared" si="7"/>
        <v>-25.36110848</v>
      </c>
      <c r="G8" s="21">
        <f t="shared" si="8"/>
        <v>-710.1110374</v>
      </c>
      <c r="H8" s="17">
        <f t="shared" ref="H8:I8" si="21">C8-J8*$D$2/SQRT(L8)</f>
        <v>3.111466949</v>
      </c>
      <c r="I8" s="17">
        <f t="shared" si="21"/>
        <v>2.487208788</v>
      </c>
      <c r="J8" s="14">
        <f t="shared" ref="J8:K8" si="22">J7*$J$1+$K$1*F8</f>
        <v>-1.909581536</v>
      </c>
      <c r="K8" s="14">
        <f t="shared" si="22"/>
        <v>259.1952396</v>
      </c>
      <c r="L8" s="14">
        <f t="shared" ref="L8:M8" si="23">L7*$L$1+$M$1*F8^2</f>
        <v>394.7271184</v>
      </c>
      <c r="M8" s="14">
        <f t="shared" si="23"/>
        <v>1588952.513</v>
      </c>
    </row>
    <row r="9">
      <c r="A9" s="14">
        <v>29.0</v>
      </c>
      <c r="B9" s="14">
        <v>88.0</v>
      </c>
      <c r="C9" s="20">
        <f t="shared" ref="C9:D9" si="24">H8</f>
        <v>3.111466949</v>
      </c>
      <c r="D9" s="20">
        <f t="shared" si="24"/>
        <v>2.487208788</v>
      </c>
      <c r="E9" s="20">
        <f t="shared" si="6"/>
        <v>75.24052179</v>
      </c>
      <c r="F9" s="21">
        <f t="shared" si="7"/>
        <v>-25.51895642</v>
      </c>
      <c r="G9" s="21">
        <f t="shared" si="8"/>
        <v>-740.0497363</v>
      </c>
      <c r="H9" s="17">
        <f t="shared" ref="H9:I9" si="25">C9-J9*$D$2/SQRT(L9)</f>
        <v>3.132295624</v>
      </c>
      <c r="I9" s="17">
        <f t="shared" si="25"/>
        <v>2.4741381</v>
      </c>
      <c r="J9" s="14">
        <f t="shared" ref="J9:K9" si="26">J8*$J$1+$K$1*F9</f>
        <v>-4.270519025</v>
      </c>
      <c r="K9" s="14">
        <f t="shared" si="26"/>
        <v>159.270742</v>
      </c>
      <c r="L9" s="14">
        <f t="shared" ref="L9:M9" si="27">L8*$L$1+$M$1*F9^2</f>
        <v>420.3761203</v>
      </c>
      <c r="M9" s="14">
        <f t="shared" si="27"/>
        <v>1484824.623</v>
      </c>
    </row>
    <row r="10">
      <c r="A10" s="14">
        <v>72.0</v>
      </c>
      <c r="B10" s="14">
        <v>174.0</v>
      </c>
      <c r="C10" s="20">
        <f t="shared" ref="C10:D10" si="28">H9</f>
        <v>3.132295624</v>
      </c>
      <c r="D10" s="20">
        <f t="shared" si="28"/>
        <v>2.4741381</v>
      </c>
      <c r="E10" s="20">
        <f t="shared" si="6"/>
        <v>181.2702388</v>
      </c>
      <c r="F10" s="21">
        <f t="shared" si="7"/>
        <v>14.54047769</v>
      </c>
      <c r="G10" s="21">
        <f t="shared" si="8"/>
        <v>1046.914394</v>
      </c>
      <c r="H10" s="17">
        <f t="shared" ref="H10:I10" si="29">C10-J10*$D$2/SQRT(L10)</f>
        <v>3.144250478</v>
      </c>
      <c r="I10" s="17">
        <f t="shared" si="29"/>
        <v>2.453511044</v>
      </c>
      <c r="J10" s="14">
        <f t="shared" ref="J10:K10" si="30">J9*$J$1+$K$1*F10</f>
        <v>-2.389419353</v>
      </c>
      <c r="K10" s="14">
        <f t="shared" si="30"/>
        <v>248.0351072</v>
      </c>
      <c r="L10" s="14">
        <f t="shared" ref="L10:M10" si="31">L9*$L$1+$M$1*F10^2</f>
        <v>399.4810574</v>
      </c>
      <c r="M10" s="14">
        <f t="shared" si="31"/>
        <v>1445945.135</v>
      </c>
    </row>
    <row r="11">
      <c r="A11" s="14">
        <v>62.0</v>
      </c>
      <c r="B11" s="14">
        <v>154.0</v>
      </c>
      <c r="C11" s="20">
        <f t="shared" ref="C11:D11" si="32">H10</f>
        <v>3.144250478</v>
      </c>
      <c r="D11" s="20">
        <f t="shared" si="32"/>
        <v>2.453511044</v>
      </c>
      <c r="E11" s="20">
        <f t="shared" si="6"/>
        <v>155.2619352</v>
      </c>
      <c r="F11" s="21">
        <f t="shared" si="7"/>
        <v>2.523870445</v>
      </c>
      <c r="G11" s="21">
        <f t="shared" si="8"/>
        <v>156.4799676</v>
      </c>
      <c r="H11" s="17">
        <f t="shared" ref="H11:I11" si="33">C11-J11*$D$2/SQRT(L11)</f>
        <v>3.154251932</v>
      </c>
      <c r="I11" s="17">
        <f t="shared" si="33"/>
        <v>2.432590466</v>
      </c>
      <c r="J11" s="14">
        <f t="shared" ref="J11:K11" si="34">J10*$J$1+$K$1*F11</f>
        <v>-1.898090373</v>
      </c>
      <c r="K11" s="14">
        <f t="shared" si="34"/>
        <v>238.8795933</v>
      </c>
      <c r="L11" s="14">
        <f t="shared" ref="L11:M11" si="35">L10*$L$1+$M$1*F11^2</f>
        <v>360.1699439</v>
      </c>
      <c r="M11" s="14">
        <f t="shared" si="35"/>
        <v>1303799.22</v>
      </c>
    </row>
    <row r="12">
      <c r="A12" s="14">
        <v>84.0</v>
      </c>
      <c r="B12" s="14">
        <v>198.0</v>
      </c>
      <c r="C12" s="20">
        <f t="shared" ref="C12:D12" si="36">H11</f>
        <v>3.154251932</v>
      </c>
      <c r="D12" s="20">
        <f t="shared" si="36"/>
        <v>2.432590466</v>
      </c>
      <c r="E12" s="20">
        <f t="shared" si="6"/>
        <v>207.491851</v>
      </c>
      <c r="F12" s="21">
        <f t="shared" si="7"/>
        <v>18.98370209</v>
      </c>
      <c r="G12" s="21">
        <f t="shared" si="8"/>
        <v>1594.630976</v>
      </c>
      <c r="H12" s="17">
        <f t="shared" ref="H12:I12" si="37">C12-J12*$D$2/SQRT(L12)</f>
        <v>3.153250342</v>
      </c>
      <c r="I12" s="17">
        <f t="shared" si="37"/>
        <v>2.40125182</v>
      </c>
      <c r="J12" s="14">
        <f t="shared" ref="J12:K12" si="38">J11*$J$1+$K$1*F12</f>
        <v>0.1900888733</v>
      </c>
      <c r="K12" s="14">
        <f t="shared" si="38"/>
        <v>374.4547315</v>
      </c>
      <c r="L12" s="14">
        <f t="shared" ref="L12:M12" si="39">L11*$L$1+$M$1*F12^2</f>
        <v>360.191044</v>
      </c>
      <c r="M12" s="14">
        <f t="shared" si="39"/>
        <v>1427704.093</v>
      </c>
    </row>
    <row r="13">
      <c r="A13" s="14">
        <v>15.0</v>
      </c>
      <c r="B13" s="14">
        <v>60.0</v>
      </c>
      <c r="C13" s="20">
        <f t="shared" ref="C13:D13" si="40">H12</f>
        <v>3.153250342</v>
      </c>
      <c r="D13" s="20">
        <f t="shared" si="40"/>
        <v>2.40125182</v>
      </c>
      <c r="E13" s="20">
        <f t="shared" si="6"/>
        <v>39.17202765</v>
      </c>
      <c r="F13" s="21">
        <f t="shared" si="7"/>
        <v>-41.65594471</v>
      </c>
      <c r="G13" s="21">
        <f t="shared" si="8"/>
        <v>-624.8391706</v>
      </c>
      <c r="H13" s="17">
        <f t="shared" ref="H13:I13" si="41">C13-J13*$D$2/SQRT(L13)</f>
        <v>3.171155696</v>
      </c>
      <c r="I13" s="17">
        <f t="shared" si="41"/>
        <v>2.377393362</v>
      </c>
      <c r="J13" s="14">
        <f t="shared" ref="J13:K13" si="42">J12*$J$1+$K$1*F13</f>
        <v>-3.994514485</v>
      </c>
      <c r="K13" s="14">
        <f t="shared" si="42"/>
        <v>274.5253413</v>
      </c>
      <c r="L13" s="14">
        <f t="shared" ref="L13:M13" si="43">L12*$L$1+$M$1*F13^2</f>
        <v>497.6937126</v>
      </c>
      <c r="M13" s="14">
        <f t="shared" si="43"/>
        <v>1323976.082</v>
      </c>
    </row>
    <row r="14">
      <c r="A14" s="14">
        <v>42.0</v>
      </c>
      <c r="B14" s="14">
        <v>114.0</v>
      </c>
      <c r="C14" s="20">
        <f t="shared" ref="C14:D14" si="44">H13</f>
        <v>3.171155696</v>
      </c>
      <c r="D14" s="20">
        <f t="shared" si="44"/>
        <v>2.377393362</v>
      </c>
      <c r="E14" s="20">
        <f t="shared" si="6"/>
        <v>103.0216769</v>
      </c>
      <c r="F14" s="21">
        <f t="shared" si="7"/>
        <v>-21.95664618</v>
      </c>
      <c r="G14" s="21">
        <f t="shared" si="8"/>
        <v>-922.1791394</v>
      </c>
      <c r="H14" s="17">
        <f t="shared" ref="H14:I14" si="45">C14-J14*$D$2/SQRT(L14)</f>
        <v>3.197153326</v>
      </c>
      <c r="I14" s="17">
        <f t="shared" si="45"/>
        <v>2.363687886</v>
      </c>
      <c r="J14" s="14">
        <f t="shared" ref="J14:K14" si="46">J13*$J$1+$K$1*F14</f>
        <v>-5.790727654</v>
      </c>
      <c r="K14" s="14">
        <f t="shared" si="46"/>
        <v>154.8548932</v>
      </c>
      <c r="L14" s="14">
        <f t="shared" ref="L14:M14" si="47">L13*$L$1+$M$1*F14^2</f>
        <v>496.1337724</v>
      </c>
      <c r="M14" s="14">
        <f t="shared" si="47"/>
        <v>1276619.911</v>
      </c>
    </row>
    <row r="15">
      <c r="A15" s="14">
        <v>62.0</v>
      </c>
      <c r="B15" s="14">
        <v>154.0</v>
      </c>
      <c r="C15" s="20">
        <f t="shared" ref="C15:D15" si="48">H14</f>
        <v>3.197153326</v>
      </c>
      <c r="D15" s="20">
        <f t="shared" si="48"/>
        <v>2.363687886</v>
      </c>
      <c r="E15" s="20">
        <f t="shared" si="6"/>
        <v>149.7458023</v>
      </c>
      <c r="F15" s="21">
        <f t="shared" si="7"/>
        <v>-8.508395462</v>
      </c>
      <c r="G15" s="21">
        <f t="shared" si="8"/>
        <v>-527.5205186</v>
      </c>
      <c r="H15" s="17">
        <f t="shared" ref="H15:I15" si="49">C15-J15*$D$2/SQRT(L15)</f>
        <v>3.225613555</v>
      </c>
      <c r="I15" s="17">
        <f t="shared" si="49"/>
        <v>2.35570323</v>
      </c>
      <c r="J15" s="14">
        <f t="shared" ref="J15:K15" si="50">J14*$J$1+$K$1*F15</f>
        <v>-6.062494435</v>
      </c>
      <c r="K15" s="14">
        <f t="shared" si="50"/>
        <v>86.61735203</v>
      </c>
      <c r="L15" s="14">
        <f t="shared" ref="L15:M15" si="51">L14*$L$1+$M$1*F15^2</f>
        <v>453.7596745</v>
      </c>
      <c r="M15" s="14">
        <f t="shared" si="51"/>
        <v>1176785.709</v>
      </c>
    </row>
    <row r="16">
      <c r="A16" s="14">
        <v>47.0</v>
      </c>
      <c r="B16" s="14">
        <v>124.0</v>
      </c>
      <c r="C16" s="20">
        <f t="shared" ref="C16:D16" si="52">H15</f>
        <v>3.225613555</v>
      </c>
      <c r="D16" s="20">
        <f t="shared" si="52"/>
        <v>2.35570323</v>
      </c>
      <c r="E16" s="20">
        <f t="shared" si="6"/>
        <v>113.9436654</v>
      </c>
      <c r="F16" s="21">
        <f t="shared" si="7"/>
        <v>-20.11266925</v>
      </c>
      <c r="G16" s="21">
        <f t="shared" si="8"/>
        <v>-945.2954548</v>
      </c>
      <c r="H16" s="17">
        <f t="shared" ref="H16:I16" si="53">C16-J16*$D$2/SQRT(L16)</f>
        <v>3.260861374</v>
      </c>
      <c r="I16" s="17">
        <f t="shared" si="53"/>
        <v>2.357249789</v>
      </c>
      <c r="J16" s="14">
        <f t="shared" ref="J16:K16" si="54">J15*$J$1+$K$1*F16</f>
        <v>-7.467511916</v>
      </c>
      <c r="K16" s="14">
        <f t="shared" si="54"/>
        <v>-16.57392865</v>
      </c>
      <c r="L16" s="14">
        <f t="shared" ref="L16:M16" si="55">L15*$L$1+$M$1*F16^2</f>
        <v>448.8356535</v>
      </c>
      <c r="M16" s="14">
        <f t="shared" si="55"/>
        <v>1148465.488</v>
      </c>
    </row>
    <row r="17">
      <c r="A17" s="14">
        <v>35.0</v>
      </c>
      <c r="B17" s="14">
        <v>100.0</v>
      </c>
      <c r="C17" s="20">
        <f t="shared" ref="C17:D17" si="56">H16</f>
        <v>3.260861374</v>
      </c>
      <c r="D17" s="20">
        <f t="shared" si="56"/>
        <v>2.357249789</v>
      </c>
      <c r="E17" s="20">
        <f t="shared" si="6"/>
        <v>85.764604</v>
      </c>
      <c r="F17" s="21">
        <f t="shared" si="7"/>
        <v>-28.47079201</v>
      </c>
      <c r="G17" s="21">
        <f t="shared" si="8"/>
        <v>-996.4777203</v>
      </c>
      <c r="H17" s="17">
        <f t="shared" ref="H17:I17" si="57">C17-J17*$D$2/SQRT(L17)</f>
        <v>3.304306219</v>
      </c>
      <c r="I17" s="17">
        <f t="shared" si="57"/>
        <v>2.368013215</v>
      </c>
      <c r="J17" s="14">
        <f t="shared" ref="J17:K17" si="58">J16*$J$1+$K$1*F17</f>
        <v>-9.567839926</v>
      </c>
      <c r="K17" s="14">
        <f t="shared" si="58"/>
        <v>-114.5643078</v>
      </c>
      <c r="L17" s="14">
        <f t="shared" ref="L17:M17" si="59">L16*$L$1+$M$1*F17^2</f>
        <v>485.0106879</v>
      </c>
      <c r="M17" s="14">
        <f t="shared" si="59"/>
        <v>1132915.724</v>
      </c>
    </row>
    <row r="18">
      <c r="A18" s="14">
        <v>9.0</v>
      </c>
      <c r="B18" s="14">
        <v>48.0</v>
      </c>
      <c r="C18" s="20">
        <f t="shared" ref="C18:D18" si="60">H17</f>
        <v>3.304306219</v>
      </c>
      <c r="D18" s="20">
        <f t="shared" si="60"/>
        <v>2.368013215</v>
      </c>
      <c r="E18" s="20">
        <f t="shared" si="6"/>
        <v>24.61642516</v>
      </c>
      <c r="F18" s="21">
        <f t="shared" si="7"/>
        <v>-46.76714969</v>
      </c>
      <c r="G18" s="21">
        <f t="shared" si="8"/>
        <v>-420.9043472</v>
      </c>
      <c r="H18" s="17">
        <f t="shared" ref="H18:I18" si="61">C18-J18*$D$2/SQRT(L18)</f>
        <v>3.356216871</v>
      </c>
      <c r="I18" s="17">
        <f t="shared" si="61"/>
        <v>2.382269323</v>
      </c>
      <c r="J18" s="14">
        <f t="shared" ref="J18:K18" si="62">J17*$J$1+$K$1*F18</f>
        <v>-13.2877709</v>
      </c>
      <c r="K18" s="14">
        <f t="shared" si="62"/>
        <v>-145.1983118</v>
      </c>
      <c r="L18" s="14">
        <f t="shared" ref="L18:M18" si="63">L17*$L$1+$M$1*F18^2</f>
        <v>655.2262481</v>
      </c>
      <c r="M18" s="14">
        <f t="shared" si="63"/>
        <v>1037340.198</v>
      </c>
    </row>
    <row r="19">
      <c r="A19" s="14">
        <v>38.0</v>
      </c>
      <c r="B19" s="14">
        <v>106.0</v>
      </c>
      <c r="C19" s="20">
        <f t="shared" ref="C19:D19" si="64">H18</f>
        <v>3.356216871</v>
      </c>
      <c r="D19" s="20">
        <f t="shared" si="64"/>
        <v>2.382269323</v>
      </c>
      <c r="E19" s="20">
        <f t="shared" si="6"/>
        <v>93.88245114</v>
      </c>
      <c r="F19" s="21">
        <f t="shared" si="7"/>
        <v>-24.23509772</v>
      </c>
      <c r="G19" s="21">
        <f t="shared" si="8"/>
        <v>-920.9337134</v>
      </c>
      <c r="H19" s="17">
        <f t="shared" ref="H19:I19" si="65">C19-J19*$D$2/SQRT(L19)</f>
        <v>3.412697613</v>
      </c>
      <c r="I19" s="17">
        <f t="shared" si="65"/>
        <v>2.404344148</v>
      </c>
      <c r="J19" s="14">
        <f t="shared" ref="J19:K19" si="66">J18*$J$1+$K$1*F19</f>
        <v>-14.38250358</v>
      </c>
      <c r="K19" s="14">
        <f t="shared" si="66"/>
        <v>-222.7718519</v>
      </c>
      <c r="L19" s="14">
        <f t="shared" ref="L19:M19" si="67">L18*$L$1+$M$1*F19^2</f>
        <v>648.4376195</v>
      </c>
      <c r="M19" s="14">
        <f t="shared" si="67"/>
        <v>1018418.069</v>
      </c>
    </row>
    <row r="20">
      <c r="A20" s="14">
        <v>44.0</v>
      </c>
      <c r="B20" s="14">
        <v>118.0</v>
      </c>
      <c r="C20" s="20">
        <f t="shared" ref="C20:D20" si="68">H19</f>
        <v>3.412697613</v>
      </c>
      <c r="D20" s="20">
        <f t="shared" si="68"/>
        <v>2.404344148</v>
      </c>
      <c r="E20" s="20">
        <f t="shared" si="6"/>
        <v>109.2038401</v>
      </c>
      <c r="F20" s="21">
        <f t="shared" si="7"/>
        <v>-17.59231978</v>
      </c>
      <c r="G20" s="21">
        <f t="shared" si="8"/>
        <v>-774.0620701</v>
      </c>
      <c r="H20" s="17">
        <f t="shared" ref="H20:I20" si="69">C20-J20*$D$2/SQRT(L20)</f>
        <v>3.472009837</v>
      </c>
      <c r="I20" s="17">
        <f t="shared" si="69"/>
        <v>2.432466733</v>
      </c>
      <c r="J20" s="14">
        <f t="shared" ref="J20:K20" si="70">J19*$J$1+$K$1*F20</f>
        <v>-14.7034852</v>
      </c>
      <c r="K20" s="14">
        <f t="shared" si="70"/>
        <v>-277.9008737</v>
      </c>
      <c r="L20" s="14">
        <f t="shared" ref="L20:M20" si="71">L19*$L$1+$M$1*F20^2</f>
        <v>614.542829</v>
      </c>
      <c r="M20" s="14">
        <f t="shared" si="71"/>
        <v>976493.471</v>
      </c>
    </row>
    <row r="21" ht="15.75" customHeight="1">
      <c r="A21" s="14">
        <v>99.0</v>
      </c>
      <c r="B21" s="14">
        <v>228.0</v>
      </c>
      <c r="C21" s="20">
        <f t="shared" ref="C21:D21" si="72">H20</f>
        <v>3.472009837</v>
      </c>
      <c r="D21" s="20">
        <f t="shared" si="72"/>
        <v>2.432466733</v>
      </c>
      <c r="E21" s="20">
        <f t="shared" si="6"/>
        <v>244.2862164</v>
      </c>
      <c r="F21" s="21">
        <f t="shared" si="7"/>
        <v>32.57243278</v>
      </c>
      <c r="G21" s="21">
        <f t="shared" si="8"/>
        <v>3224.670845</v>
      </c>
      <c r="H21" s="17">
        <f t="shared" ref="H21:I21" si="73">C21-J21*$D$2/SQRT(L21)</f>
        <v>3.510864951</v>
      </c>
      <c r="I21" s="17">
        <f t="shared" si="73"/>
        <v>2.42724309</v>
      </c>
      <c r="J21" s="14">
        <f t="shared" ref="J21:K21" si="74">J20*$J$1+$K$1*F21</f>
        <v>-9.975893405</v>
      </c>
      <c r="K21" s="14">
        <f t="shared" si="74"/>
        <v>72.35629815</v>
      </c>
      <c r="L21" s="14">
        <f t="shared" ref="L21:M21" si="75">L20*$L$1+$M$1*F21^2</f>
        <v>659.1848838</v>
      </c>
      <c r="M21" s="14">
        <f t="shared" si="75"/>
        <v>1918694.33</v>
      </c>
    </row>
    <row r="22" ht="15.75" customHeight="1">
      <c r="A22" s="14">
        <v>13.0</v>
      </c>
      <c r="B22" s="14">
        <v>56.0</v>
      </c>
      <c r="C22" s="20">
        <f t="shared" ref="C22:D22" si="76">H21</f>
        <v>3.510864951</v>
      </c>
      <c r="D22" s="20">
        <f t="shared" si="76"/>
        <v>2.42724309</v>
      </c>
      <c r="E22" s="20">
        <f t="shared" si="6"/>
        <v>35.06502513</v>
      </c>
      <c r="F22" s="21">
        <f t="shared" si="7"/>
        <v>-41.86994975</v>
      </c>
      <c r="G22" s="21">
        <f t="shared" si="8"/>
        <v>-544.3093467</v>
      </c>
      <c r="H22" s="17">
        <f t="shared" ref="H22:I22" si="77">C22-J22*$D$2/SQRT(L22)</f>
        <v>3.558353337</v>
      </c>
      <c r="I22" s="17">
        <f t="shared" si="77"/>
        <v>2.426436508</v>
      </c>
      <c r="J22" s="14">
        <f t="shared" ref="J22:K22" si="78">J21*$J$1+$K$1*F22</f>
        <v>-13.16529904</v>
      </c>
      <c r="K22" s="14">
        <f t="shared" si="78"/>
        <v>10.68973367</v>
      </c>
      <c r="L22" s="14">
        <f t="shared" ref="L22:M22" si="79">L21*$L$1+$M$1*F22^2</f>
        <v>768.5756647</v>
      </c>
      <c r="M22" s="14">
        <f t="shared" si="79"/>
        <v>1756452.163</v>
      </c>
    </row>
    <row r="23" ht="15.75" customHeight="1">
      <c r="A23" s="14">
        <v>21.0</v>
      </c>
      <c r="B23" s="14">
        <v>72.0</v>
      </c>
      <c r="C23" s="20">
        <f t="shared" ref="C23:D23" si="80">H22</f>
        <v>3.558353337</v>
      </c>
      <c r="D23" s="20">
        <f t="shared" si="80"/>
        <v>2.426436508</v>
      </c>
      <c r="E23" s="20">
        <f t="shared" si="6"/>
        <v>54.51352001</v>
      </c>
      <c r="F23" s="21">
        <f t="shared" si="7"/>
        <v>-34.97295999</v>
      </c>
      <c r="G23" s="21">
        <f t="shared" si="8"/>
        <v>-734.4321598</v>
      </c>
      <c r="H23" s="17">
        <f t="shared" ref="H23:I23" si="81">C23-J23*$D$2/SQRT(L23)</f>
        <v>3.612140313</v>
      </c>
      <c r="I23" s="17">
        <f t="shared" si="81"/>
        <v>2.431428207</v>
      </c>
      <c r="J23" s="14">
        <f t="shared" ref="J23:K23" si="82">J22*$J$1+$K$1*F23</f>
        <v>-15.34606513</v>
      </c>
      <c r="K23" s="14">
        <f t="shared" si="82"/>
        <v>-63.82245568</v>
      </c>
      <c r="L23" s="14">
        <f t="shared" ref="L23:M23" si="83">L22*$L$1+$M$1*F23^2</f>
        <v>814.0288912</v>
      </c>
      <c r="M23" s="14">
        <f t="shared" si="83"/>
        <v>1634746.007</v>
      </c>
    </row>
    <row r="24" ht="15.75" customHeight="1">
      <c r="A24" s="14">
        <v>28.0</v>
      </c>
      <c r="B24" s="14">
        <v>86.0</v>
      </c>
      <c r="C24" s="20">
        <f t="shared" ref="C24:D24" si="84">H23</f>
        <v>3.612140313</v>
      </c>
      <c r="D24" s="20">
        <f t="shared" si="84"/>
        <v>2.431428207</v>
      </c>
      <c r="E24" s="20">
        <f t="shared" si="6"/>
        <v>71.6921301</v>
      </c>
      <c r="F24" s="21">
        <f t="shared" si="7"/>
        <v>-28.61573979</v>
      </c>
      <c r="G24" s="21">
        <f t="shared" si="8"/>
        <v>-801.2407142</v>
      </c>
      <c r="H24" s="17">
        <f t="shared" ref="H24:I24" si="85">C24-J24*$D$2/SQRT(L24)</f>
        <v>3.67056089</v>
      </c>
      <c r="I24" s="17">
        <f t="shared" si="85"/>
        <v>2.442529792</v>
      </c>
      <c r="J24" s="14">
        <f t="shared" ref="J24:K24" si="86">J23*$J$1+$K$1*F24</f>
        <v>-16.6730326</v>
      </c>
      <c r="K24" s="14">
        <f t="shared" si="86"/>
        <v>-137.5642815</v>
      </c>
      <c r="L24" s="14">
        <f t="shared" ref="L24:M24" si="87">L23*$L$1+$M$1*F24^2</f>
        <v>814.5120585</v>
      </c>
      <c r="M24" s="14">
        <f t="shared" si="87"/>
        <v>1535470.074</v>
      </c>
    </row>
    <row r="25" ht="15.75" customHeight="1">
      <c r="A25" s="14">
        <v>20.0</v>
      </c>
      <c r="B25" s="14">
        <v>70.0</v>
      </c>
      <c r="C25" s="20">
        <f t="shared" ref="C25:D25" si="88">H24</f>
        <v>3.67056089</v>
      </c>
      <c r="D25" s="20">
        <f t="shared" si="88"/>
        <v>2.442529792</v>
      </c>
      <c r="E25" s="20">
        <f t="shared" si="6"/>
        <v>52.52115673</v>
      </c>
      <c r="F25" s="21">
        <f t="shared" si="7"/>
        <v>-34.95768653</v>
      </c>
      <c r="G25" s="21">
        <f t="shared" si="8"/>
        <v>-699.1537306</v>
      </c>
      <c r="H25" s="17">
        <f t="shared" ref="H25:I25" si="89">C25-J25*$D$2/SQRT(L25)</f>
        <v>3.73382488</v>
      </c>
      <c r="I25" s="17">
        <f t="shared" si="89"/>
        <v>2.458725186</v>
      </c>
      <c r="J25" s="14">
        <f t="shared" ref="J25:K25" si="90">J24*$J$1+$K$1*F25</f>
        <v>-18.50149799</v>
      </c>
      <c r="K25" s="14">
        <f t="shared" si="90"/>
        <v>-193.7232264</v>
      </c>
      <c r="L25" s="14">
        <f t="shared" ref="L25:M25" si="91">L24*$L$1+$M$1*F25^2</f>
        <v>855.2648374</v>
      </c>
      <c r="M25" s="14">
        <f t="shared" si="91"/>
        <v>1430804.661</v>
      </c>
    </row>
    <row r="26" ht="15.75" customHeight="1">
      <c r="A26" s="14">
        <v>8.0</v>
      </c>
      <c r="B26" s="14">
        <v>46.0</v>
      </c>
      <c r="C26" s="20">
        <f t="shared" ref="C26:D26" si="92">H25</f>
        <v>3.73382488</v>
      </c>
      <c r="D26" s="20">
        <f t="shared" si="92"/>
        <v>2.458725186</v>
      </c>
      <c r="E26" s="20">
        <f t="shared" si="6"/>
        <v>23.40362637</v>
      </c>
      <c r="F26" s="21">
        <f t="shared" si="7"/>
        <v>-45.19274726</v>
      </c>
      <c r="G26" s="21">
        <f t="shared" si="8"/>
        <v>-361.5419781</v>
      </c>
      <c r="H26" s="17">
        <f t="shared" ref="H26:I26" si="93">C26-J26*$D$2/SQRT(L26)</f>
        <v>3.80166074</v>
      </c>
      <c r="I26" s="17">
        <f t="shared" si="93"/>
        <v>2.477182059</v>
      </c>
      <c r="J26" s="14">
        <f t="shared" ref="J26:K26" si="94">J25*$J$1+$K$1*F26</f>
        <v>-21.17062292</v>
      </c>
      <c r="K26" s="14">
        <f t="shared" si="94"/>
        <v>-210.5051016</v>
      </c>
      <c r="L26" s="14">
        <f t="shared" ref="L26:M26" si="95">L25*$L$1+$M$1*F26^2</f>
        <v>973.9767941</v>
      </c>
      <c r="M26" s="14">
        <f t="shared" si="95"/>
        <v>1300795.455</v>
      </c>
    </row>
    <row r="27" ht="15.75" customHeight="1">
      <c r="A27" s="14">
        <v>64.0</v>
      </c>
      <c r="B27" s="14">
        <v>158.0</v>
      </c>
      <c r="C27" s="20">
        <f t="shared" ref="C27:D27" si="96">H26</f>
        <v>3.80166074</v>
      </c>
      <c r="D27" s="20">
        <f t="shared" si="96"/>
        <v>2.477182059</v>
      </c>
      <c r="E27" s="20">
        <f t="shared" si="6"/>
        <v>162.3413125</v>
      </c>
      <c r="F27" s="21">
        <f t="shared" si="7"/>
        <v>8.682625052</v>
      </c>
      <c r="G27" s="21">
        <f t="shared" si="8"/>
        <v>555.6880033</v>
      </c>
      <c r="H27" s="17">
        <f t="shared" ref="H27:I27" si="97">C27-J27*$D$2/SQRT(L27)</f>
        <v>3.862820438</v>
      </c>
      <c r="I27" s="17">
        <f t="shared" si="97"/>
        <v>2.48939599</v>
      </c>
      <c r="J27" s="14">
        <f t="shared" ref="J27:K27" si="98">J26*$J$1+$K$1*F27</f>
        <v>-18.18529812</v>
      </c>
      <c r="K27" s="14">
        <f t="shared" si="98"/>
        <v>-133.8857911</v>
      </c>
      <c r="L27" s="14">
        <f t="shared" ref="L27:M27" si="99">L26*$L$1+$M$1*F27^2</f>
        <v>884.1179125</v>
      </c>
      <c r="M27" s="14">
        <f t="shared" si="99"/>
        <v>1201594.825</v>
      </c>
    </row>
    <row r="28" ht="15.75" customHeight="1">
      <c r="A28" s="14">
        <v>99.0</v>
      </c>
      <c r="B28" s="14">
        <v>228.0</v>
      </c>
      <c r="C28" s="20">
        <f t="shared" ref="C28:D28" si="100">H27</f>
        <v>3.862820438</v>
      </c>
      <c r="D28" s="20">
        <f t="shared" si="100"/>
        <v>2.48939599</v>
      </c>
      <c r="E28" s="20">
        <f t="shared" si="6"/>
        <v>250.3130235</v>
      </c>
      <c r="F28" s="21">
        <f t="shared" si="7"/>
        <v>44.62604694</v>
      </c>
      <c r="G28" s="21">
        <f t="shared" si="8"/>
        <v>4417.978647</v>
      </c>
      <c r="H28" s="17">
        <f t="shared" ref="H28:I28" si="101">C28-J28*$D$2/SQRT(L28)</f>
        <v>3.900561933</v>
      </c>
      <c r="I28" s="17">
        <f t="shared" si="101"/>
        <v>2.470947759</v>
      </c>
      <c r="J28" s="14">
        <f t="shared" ref="J28:K28" si="102">J27*$J$1+$K$1*F28</f>
        <v>-11.90416362</v>
      </c>
      <c r="K28" s="14">
        <f t="shared" si="102"/>
        <v>321.3006527</v>
      </c>
      <c r="L28" s="14">
        <f t="shared" ref="L28:M28" si="103">L27*$L$1+$M$1*F28^2</f>
        <v>994.8545278</v>
      </c>
      <c r="M28" s="14">
        <f t="shared" si="103"/>
        <v>3033288.875</v>
      </c>
    </row>
    <row r="29" ht="15.75" customHeight="1">
      <c r="A29" s="14">
        <v>70.0</v>
      </c>
      <c r="B29" s="14">
        <v>170.0</v>
      </c>
      <c r="C29" s="20">
        <f t="shared" ref="C29:D29" si="104">H28</f>
        <v>3.900561933</v>
      </c>
      <c r="D29" s="20">
        <f t="shared" si="104"/>
        <v>2.470947759</v>
      </c>
      <c r="E29" s="20">
        <f t="shared" si="6"/>
        <v>176.8669051</v>
      </c>
      <c r="F29" s="21">
        <f t="shared" si="7"/>
        <v>13.73381019</v>
      </c>
      <c r="G29" s="21">
        <f t="shared" si="8"/>
        <v>961.3667136</v>
      </c>
      <c r="H29" s="17">
        <f t="shared" ref="H29:I29" si="105">C29-J29*$D$2/SQRT(L29)</f>
        <v>3.931453218</v>
      </c>
      <c r="I29" s="17">
        <f t="shared" si="105"/>
        <v>2.448012733</v>
      </c>
      <c r="J29" s="14">
        <f t="shared" ref="J29:K29" si="106">J28*$J$1+$K$1*F29</f>
        <v>-9.340366235</v>
      </c>
      <c r="K29" s="14">
        <f t="shared" si="106"/>
        <v>385.3072588</v>
      </c>
      <c r="L29" s="14">
        <f t="shared" ref="L29:M29" si="107">L28*$L$1+$M$1*F29^2</f>
        <v>914.2308293</v>
      </c>
      <c r="M29" s="14">
        <f t="shared" si="107"/>
        <v>2822382.583</v>
      </c>
    </row>
    <row r="30" ht="15.75" customHeight="1">
      <c r="A30" s="14">
        <v>27.0</v>
      </c>
      <c r="B30" s="14">
        <v>84.0</v>
      </c>
      <c r="C30" s="20">
        <f t="shared" ref="C30:D30" si="108">H29</f>
        <v>3.931453218</v>
      </c>
      <c r="D30" s="20">
        <f t="shared" si="108"/>
        <v>2.448012733</v>
      </c>
      <c r="E30" s="20">
        <f t="shared" si="6"/>
        <v>70.027797</v>
      </c>
      <c r="F30" s="21">
        <f t="shared" si="7"/>
        <v>-27.94440599</v>
      </c>
      <c r="G30" s="21">
        <f t="shared" si="8"/>
        <v>-754.4989618</v>
      </c>
      <c r="H30" s="17">
        <f t="shared" ref="H30:I30" si="109">C30-J30*$D$2/SQRT(L30)</f>
        <v>3.968770532</v>
      </c>
      <c r="I30" s="17">
        <f t="shared" si="109"/>
        <v>2.431176284</v>
      </c>
      <c r="J30" s="14">
        <f t="shared" ref="J30:K30" si="110">J29*$J$1+$K$1*F30</f>
        <v>-11.20077021</v>
      </c>
      <c r="K30" s="14">
        <f t="shared" si="110"/>
        <v>271.3266367</v>
      </c>
      <c r="L30" s="14">
        <f t="shared" ref="L30:M30" si="111">L29*$L$1+$M$1*F30^2</f>
        <v>900.896729</v>
      </c>
      <c r="M30" s="14">
        <f t="shared" si="111"/>
        <v>2597071.193</v>
      </c>
    </row>
    <row r="31" ht="15.75" customHeight="1">
      <c r="A31" s="14">
        <v>17.0</v>
      </c>
      <c r="B31" s="14">
        <v>64.0</v>
      </c>
      <c r="C31" s="20">
        <f t="shared" ref="C31:D31" si="112">H30</f>
        <v>3.968770532</v>
      </c>
      <c r="D31" s="20">
        <f t="shared" si="112"/>
        <v>2.431176284</v>
      </c>
      <c r="E31" s="20">
        <f t="shared" si="6"/>
        <v>45.29876735</v>
      </c>
      <c r="F31" s="21">
        <f t="shared" si="7"/>
        <v>-37.40246529</v>
      </c>
      <c r="G31" s="21">
        <f t="shared" si="8"/>
        <v>-635.84191</v>
      </c>
      <c r="H31" s="17">
        <f t="shared" ref="H31:I31" si="113">C31-J31*$D$2/SQRT(L31)</f>
        <v>4.013595035</v>
      </c>
      <c r="I31" s="17">
        <f t="shared" si="113"/>
        <v>2.41946366</v>
      </c>
      <c r="J31" s="14">
        <f t="shared" ref="J31:K31" si="114">J30*$J$1+$K$1*F31</f>
        <v>-13.82093972</v>
      </c>
      <c r="K31" s="14">
        <f t="shared" si="114"/>
        <v>180.6097821</v>
      </c>
      <c r="L31" s="14">
        <f t="shared" ref="L31:M31" si="115">L30*$L$1+$M$1*F31^2</f>
        <v>950.7014971</v>
      </c>
      <c r="M31" s="14">
        <f t="shared" si="115"/>
        <v>2377793.568</v>
      </c>
    </row>
    <row r="32" ht="15.75" customHeight="1">
      <c r="A32" s="14">
        <v>8.0</v>
      </c>
      <c r="B32" s="14">
        <v>46.0</v>
      </c>
      <c r="C32" s="20">
        <f t="shared" ref="C32:D32" si="116">H31</f>
        <v>4.013595035</v>
      </c>
      <c r="D32" s="20">
        <f t="shared" si="116"/>
        <v>2.41946366</v>
      </c>
      <c r="E32" s="20">
        <f t="shared" si="6"/>
        <v>23.36930431</v>
      </c>
      <c r="F32" s="21">
        <f t="shared" si="7"/>
        <v>-45.26139137</v>
      </c>
      <c r="G32" s="21">
        <f t="shared" si="8"/>
        <v>-362.091131</v>
      </c>
      <c r="H32" s="17">
        <f t="shared" ref="H32:I32" si="117">C32-J32*$D$2/SQRT(L32)</f>
        <v>4.065690515</v>
      </c>
      <c r="I32" s="17">
        <f t="shared" si="117"/>
        <v>2.41085362</v>
      </c>
      <c r="J32" s="14">
        <f t="shared" ref="J32:K32" si="118">J31*$J$1+$K$1*F32</f>
        <v>-16.96498488</v>
      </c>
      <c r="K32" s="14">
        <f t="shared" si="118"/>
        <v>126.3396908</v>
      </c>
      <c r="L32" s="14">
        <f t="shared" ref="L32:M32" si="119">L31*$L$1+$M$1*F32^2</f>
        <v>1060.490702</v>
      </c>
      <c r="M32" s="14">
        <f t="shared" si="119"/>
        <v>2153125.209</v>
      </c>
    </row>
    <row r="33" ht="15.75" customHeight="1">
      <c r="A33" s="21"/>
      <c r="B33" s="21"/>
      <c r="C33" s="20"/>
      <c r="D33" s="20"/>
      <c r="E33" s="20"/>
      <c r="F33" s="21"/>
      <c r="G33" s="21"/>
      <c r="H33" s="17"/>
      <c r="J33" s="14">
        <v>1.8871073544462662</v>
      </c>
      <c r="K33" s="14">
        <v>167.3681217326772</v>
      </c>
      <c r="L33" s="21">
        <v>40.892736082118006</v>
      </c>
      <c r="M33" s="21">
        <v>275756.3249788667</v>
      </c>
      <c r="O33" s="25"/>
    </row>
    <row r="34" ht="15.75" customHeight="1">
      <c r="C34" s="20"/>
      <c r="D34" s="20"/>
      <c r="E34" s="20"/>
      <c r="F34" s="21"/>
      <c r="G34" s="21"/>
    </row>
    <row r="35" ht="15.75" customHeight="1">
      <c r="C35" s="20"/>
      <c r="D35" s="20"/>
      <c r="E35" s="20"/>
      <c r="F35" s="21"/>
      <c r="G35" s="21"/>
    </row>
    <row r="36" ht="15.75" customHeight="1">
      <c r="C36" s="20"/>
      <c r="D36" s="20"/>
      <c r="E36" s="20"/>
      <c r="F36" s="21"/>
      <c r="G36" s="21"/>
    </row>
    <row r="37" ht="15.75" customHeight="1">
      <c r="C37" s="20"/>
      <c r="D37" s="20"/>
      <c r="E37" s="20"/>
      <c r="F37" s="21"/>
      <c r="G37" s="21"/>
    </row>
    <row r="38" ht="15.75" customHeight="1">
      <c r="C38" s="20"/>
      <c r="D38" s="20"/>
      <c r="E38" s="20"/>
      <c r="F38" s="21"/>
      <c r="G38" s="21"/>
    </row>
    <row r="39" ht="15.75" customHeight="1">
      <c r="C39" s="20"/>
      <c r="D39" s="20"/>
      <c r="E39" s="20"/>
      <c r="F39" s="21"/>
      <c r="G39" s="21"/>
    </row>
    <row r="40" ht="15.75" customHeight="1">
      <c r="C40" s="20"/>
      <c r="D40" s="20"/>
      <c r="E40" s="20"/>
      <c r="F40" s="21"/>
      <c r="G40" s="21"/>
    </row>
    <row r="41" ht="15.75" customHeight="1">
      <c r="C41" s="20"/>
      <c r="D41" s="20"/>
      <c r="E41" s="20"/>
      <c r="F41" s="21"/>
      <c r="G41" s="21"/>
    </row>
    <row r="42" ht="15.75" customHeight="1">
      <c r="C42" s="20"/>
      <c r="D42" s="20"/>
      <c r="E42" s="20"/>
      <c r="F42" s="21"/>
      <c r="G42" s="21"/>
    </row>
    <row r="43" ht="15.75" customHeight="1">
      <c r="C43" s="20"/>
      <c r="D43" s="20"/>
      <c r="E43" s="20"/>
      <c r="F43" s="21"/>
      <c r="G43" s="21"/>
    </row>
    <row r="44" ht="15.75" customHeight="1">
      <c r="C44" s="20"/>
      <c r="D44" s="20"/>
      <c r="E44" s="20"/>
      <c r="F44" s="21"/>
      <c r="G44" s="21"/>
    </row>
    <row r="45" ht="15.75" customHeight="1">
      <c r="C45" s="20"/>
      <c r="D45" s="20"/>
      <c r="E45" s="20"/>
      <c r="F45" s="21"/>
      <c r="G45" s="21"/>
    </row>
    <row r="46" ht="15.75" customHeight="1">
      <c r="C46" s="20"/>
      <c r="D46" s="20"/>
      <c r="E46" s="20"/>
      <c r="F46" s="21"/>
      <c r="G46" s="21"/>
    </row>
    <row r="47" ht="15.75" customHeight="1">
      <c r="C47" s="20"/>
      <c r="D47" s="20"/>
      <c r="E47" s="20"/>
      <c r="F47" s="21"/>
      <c r="G47" s="21"/>
    </row>
    <row r="48" ht="15.75" customHeight="1">
      <c r="C48" s="20"/>
      <c r="D48" s="20"/>
      <c r="E48" s="20"/>
      <c r="F48" s="21"/>
      <c r="G48" s="21"/>
    </row>
    <row r="49" ht="15.75" customHeight="1">
      <c r="C49" s="20"/>
      <c r="D49" s="20"/>
      <c r="E49" s="20"/>
      <c r="F49" s="21"/>
      <c r="G49" s="21"/>
    </row>
    <row r="50" ht="15.75" customHeight="1">
      <c r="C50" s="20"/>
      <c r="D50" s="20"/>
      <c r="E50" s="20"/>
      <c r="F50" s="21"/>
      <c r="G50" s="21"/>
    </row>
    <row r="51" ht="15.75" customHeight="1">
      <c r="C51" s="20"/>
      <c r="D51" s="20"/>
      <c r="E51" s="20"/>
      <c r="F51" s="21"/>
      <c r="G51" s="21"/>
    </row>
    <row r="52" ht="15.75" customHeight="1">
      <c r="C52" s="20"/>
      <c r="D52" s="20"/>
      <c r="E52" s="20"/>
      <c r="F52" s="21"/>
      <c r="G52" s="21"/>
    </row>
    <row r="53" ht="15.75" customHeight="1">
      <c r="C53" s="20"/>
      <c r="D53" s="20"/>
      <c r="E53" s="20"/>
      <c r="F53" s="21"/>
      <c r="G53" s="21"/>
    </row>
    <row r="54" ht="15.75" customHeight="1">
      <c r="C54" s="20"/>
      <c r="D54" s="20"/>
      <c r="E54" s="20"/>
      <c r="F54" s="21"/>
      <c r="G54" s="21"/>
    </row>
    <row r="55" ht="15.75" customHeight="1">
      <c r="C55" s="20"/>
      <c r="D55" s="20"/>
      <c r="E55" s="20"/>
      <c r="F55" s="21"/>
      <c r="G55" s="21"/>
    </row>
    <row r="56" ht="15.75" customHeight="1">
      <c r="C56" s="20"/>
      <c r="D56" s="20"/>
      <c r="E56" s="20"/>
      <c r="F56" s="21"/>
      <c r="G56" s="21"/>
    </row>
    <row r="57" ht="15.75" customHeight="1">
      <c r="C57" s="20"/>
      <c r="D57" s="20"/>
      <c r="E57" s="20"/>
      <c r="F57" s="21"/>
      <c r="G57" s="21"/>
    </row>
    <row r="58" ht="15.75" customHeight="1">
      <c r="C58" s="20"/>
      <c r="D58" s="20"/>
      <c r="E58" s="20"/>
      <c r="F58" s="21"/>
      <c r="G58" s="21"/>
    </row>
    <row r="59" ht="15.75" customHeight="1">
      <c r="C59" s="20"/>
      <c r="D59" s="20"/>
      <c r="E59" s="20"/>
      <c r="F59" s="21"/>
      <c r="G59" s="21"/>
    </row>
    <row r="60" ht="15.75" customHeight="1">
      <c r="C60" s="20"/>
      <c r="D60" s="20"/>
      <c r="E60" s="20"/>
      <c r="F60" s="21"/>
      <c r="G60" s="21"/>
    </row>
    <row r="61" ht="15.75" customHeight="1">
      <c r="C61" s="20"/>
      <c r="D61" s="20"/>
      <c r="E61" s="20"/>
      <c r="F61" s="21"/>
      <c r="G61" s="21"/>
    </row>
    <row r="62" ht="15.75" customHeight="1">
      <c r="C62" s="20"/>
      <c r="D62" s="20"/>
      <c r="E62" s="20"/>
      <c r="F62" s="21"/>
      <c r="G62" s="21"/>
    </row>
    <row r="63" ht="15.75" customHeight="1">
      <c r="C63" s="20"/>
      <c r="D63" s="20"/>
      <c r="E63" s="20"/>
      <c r="F63" s="21"/>
      <c r="G63" s="21"/>
    </row>
    <row r="64" ht="15.75" customHeight="1">
      <c r="C64" s="20"/>
      <c r="D64" s="20"/>
      <c r="E64" s="20"/>
      <c r="F64" s="21"/>
      <c r="G64" s="21"/>
    </row>
    <row r="65" ht="15.75" customHeight="1">
      <c r="C65" s="20"/>
      <c r="D65" s="20"/>
      <c r="E65" s="20"/>
      <c r="F65" s="21"/>
      <c r="G65" s="21"/>
    </row>
    <row r="66" ht="15.75" customHeight="1">
      <c r="C66" s="20"/>
      <c r="D66" s="20"/>
      <c r="E66" s="20"/>
      <c r="F66" s="21"/>
      <c r="G66" s="21"/>
    </row>
    <row r="67" ht="15.75" customHeight="1">
      <c r="C67" s="20"/>
      <c r="D67" s="20"/>
      <c r="E67" s="20"/>
      <c r="F67" s="21"/>
      <c r="G67" s="21"/>
    </row>
    <row r="68" ht="15.75" customHeight="1">
      <c r="C68" s="20"/>
      <c r="D68" s="20"/>
      <c r="E68" s="20"/>
      <c r="F68" s="21"/>
      <c r="G68" s="21"/>
    </row>
    <row r="69" ht="15.75" customHeight="1">
      <c r="C69" s="20"/>
      <c r="D69" s="20"/>
      <c r="E69" s="20"/>
      <c r="F69" s="21"/>
      <c r="G69" s="21"/>
    </row>
    <row r="70" ht="15.75" customHeight="1">
      <c r="C70" s="20"/>
      <c r="D70" s="20"/>
      <c r="E70" s="20"/>
      <c r="F70" s="21"/>
      <c r="G70" s="21"/>
    </row>
    <row r="71" ht="15.75" customHeight="1">
      <c r="C71" s="20"/>
      <c r="D71" s="20"/>
      <c r="E71" s="20"/>
      <c r="F71" s="21"/>
      <c r="G71" s="21"/>
    </row>
    <row r="72" ht="15.75" customHeight="1">
      <c r="C72" s="20"/>
      <c r="D72" s="20"/>
      <c r="E72" s="20"/>
      <c r="F72" s="21"/>
      <c r="G72" s="21"/>
    </row>
    <row r="73" ht="15.75" customHeight="1">
      <c r="C73" s="20"/>
      <c r="D73" s="20"/>
      <c r="E73" s="20"/>
      <c r="F73" s="21"/>
      <c r="G73" s="21"/>
    </row>
    <row r="74" ht="15.75" customHeight="1">
      <c r="C74" s="20"/>
      <c r="D74" s="20"/>
      <c r="E74" s="20"/>
      <c r="F74" s="21"/>
      <c r="G74" s="21"/>
    </row>
    <row r="75" ht="15.75" customHeight="1">
      <c r="C75" s="20"/>
      <c r="D75" s="20"/>
      <c r="E75" s="20"/>
      <c r="F75" s="21"/>
      <c r="G75" s="21"/>
    </row>
    <row r="76" ht="15.75" customHeight="1">
      <c r="C76" s="20"/>
      <c r="D76" s="20"/>
      <c r="E76" s="20"/>
      <c r="F76" s="21"/>
      <c r="G76" s="21"/>
    </row>
    <row r="77" ht="15.75" customHeight="1">
      <c r="C77" s="20"/>
      <c r="D77" s="20"/>
      <c r="E77" s="20"/>
      <c r="F77" s="21"/>
      <c r="G77" s="21"/>
    </row>
    <row r="78" ht="15.75" customHeight="1">
      <c r="C78" s="20"/>
      <c r="D78" s="20"/>
      <c r="E78" s="20"/>
      <c r="F78" s="21"/>
      <c r="G78" s="21"/>
    </row>
    <row r="79" ht="15.75" customHeight="1">
      <c r="C79" s="20"/>
      <c r="D79" s="20"/>
      <c r="E79" s="20"/>
      <c r="F79" s="21"/>
      <c r="G79" s="21"/>
    </row>
    <row r="80" ht="15.75" customHeight="1">
      <c r="C80" s="20"/>
      <c r="D80" s="20"/>
      <c r="E80" s="20"/>
      <c r="F80" s="21"/>
      <c r="G80" s="21"/>
    </row>
    <row r="81" ht="15.75" customHeight="1">
      <c r="C81" s="20"/>
      <c r="D81" s="20"/>
      <c r="E81" s="20"/>
      <c r="F81" s="21"/>
      <c r="G81" s="21"/>
    </row>
    <row r="82" ht="15.75" customHeight="1">
      <c r="C82" s="20"/>
      <c r="D82" s="20"/>
      <c r="E82" s="20"/>
      <c r="F82" s="21"/>
      <c r="G82" s="21"/>
    </row>
    <row r="83" ht="15.75" customHeight="1">
      <c r="C83" s="20"/>
      <c r="D83" s="20"/>
      <c r="E83" s="20"/>
      <c r="F83" s="21"/>
      <c r="G83" s="21"/>
    </row>
    <row r="84" ht="15.75" customHeight="1">
      <c r="C84" s="20"/>
      <c r="D84" s="20"/>
      <c r="E84" s="20"/>
      <c r="F84" s="21"/>
      <c r="G84" s="21"/>
    </row>
    <row r="85" ht="15.75" customHeight="1">
      <c r="C85" s="20"/>
      <c r="D85" s="20"/>
      <c r="E85" s="20"/>
      <c r="F85" s="21"/>
      <c r="G85" s="21"/>
    </row>
    <row r="86" ht="15.75" customHeight="1">
      <c r="C86" s="20"/>
      <c r="D86" s="20"/>
      <c r="E86" s="20"/>
      <c r="F86" s="21"/>
      <c r="G86" s="21"/>
    </row>
    <row r="87" ht="15.75" customHeight="1">
      <c r="C87" s="20"/>
      <c r="D87" s="20"/>
      <c r="E87" s="20"/>
      <c r="F87" s="21"/>
      <c r="G87" s="21"/>
    </row>
    <row r="88" ht="15.75" customHeight="1">
      <c r="C88" s="20"/>
      <c r="D88" s="20"/>
      <c r="E88" s="20"/>
      <c r="F88" s="21"/>
      <c r="G88" s="21"/>
    </row>
    <row r="89" ht="15.75" customHeight="1">
      <c r="C89" s="20"/>
      <c r="D89" s="20"/>
      <c r="E89" s="20"/>
      <c r="F89" s="21"/>
      <c r="G89" s="21"/>
    </row>
    <row r="90" ht="15.75" customHeight="1">
      <c r="C90" s="20"/>
      <c r="D90" s="20"/>
      <c r="E90" s="20"/>
      <c r="F90" s="21"/>
      <c r="G90" s="21"/>
    </row>
    <row r="91" ht="15.75" customHeight="1">
      <c r="C91" s="20"/>
      <c r="D91" s="20"/>
      <c r="E91" s="20"/>
      <c r="F91" s="21"/>
      <c r="G91" s="21"/>
    </row>
    <row r="92" ht="15.75" customHeight="1">
      <c r="C92" s="20"/>
      <c r="D92" s="20"/>
      <c r="E92" s="20"/>
      <c r="F92" s="21"/>
      <c r="G92" s="21"/>
    </row>
    <row r="93" ht="15.75" customHeight="1">
      <c r="C93" s="20"/>
      <c r="D93" s="20"/>
      <c r="E93" s="20"/>
      <c r="F93" s="21"/>
      <c r="G93" s="21"/>
    </row>
    <row r="94" ht="15.75" customHeight="1">
      <c r="C94" s="20"/>
      <c r="D94" s="20"/>
      <c r="E94" s="20"/>
      <c r="F94" s="21"/>
      <c r="G94" s="21"/>
    </row>
    <row r="95" ht="15.75" customHeight="1">
      <c r="C95" s="20"/>
      <c r="D95" s="20"/>
      <c r="E95" s="20"/>
      <c r="F95" s="21"/>
      <c r="G95" s="21"/>
    </row>
    <row r="96" ht="15.75" customHeight="1">
      <c r="C96" s="20"/>
      <c r="D96" s="20"/>
      <c r="E96" s="20"/>
      <c r="F96" s="21"/>
      <c r="G96" s="21"/>
    </row>
    <row r="97" ht="15.75" customHeight="1">
      <c r="C97" s="20"/>
      <c r="D97" s="20"/>
      <c r="E97" s="20"/>
      <c r="F97" s="21"/>
      <c r="G97" s="21"/>
    </row>
    <row r="98" ht="15.75" customHeight="1">
      <c r="C98" s="20"/>
      <c r="D98" s="20"/>
      <c r="E98" s="20"/>
      <c r="F98" s="21"/>
      <c r="G98" s="21"/>
    </row>
    <row r="99" ht="15.75" customHeight="1">
      <c r="C99" s="20"/>
      <c r="D99" s="20"/>
      <c r="E99" s="20"/>
      <c r="F99" s="21"/>
      <c r="G99" s="21"/>
    </row>
    <row r="100" ht="15.75" customHeight="1">
      <c r="C100" s="20"/>
      <c r="D100" s="20"/>
      <c r="E100" s="20"/>
      <c r="F100" s="21"/>
      <c r="G100" s="21"/>
    </row>
    <row r="101" ht="15.75" customHeight="1">
      <c r="C101" s="20"/>
      <c r="D101" s="20"/>
      <c r="E101" s="20"/>
      <c r="F101" s="21"/>
      <c r="G101" s="21"/>
    </row>
    <row r="102" ht="15.75" customHeight="1">
      <c r="C102" s="20"/>
      <c r="D102" s="20"/>
      <c r="E102" s="20"/>
      <c r="F102" s="21"/>
      <c r="G102" s="21"/>
    </row>
    <row r="103" ht="15.75" customHeight="1">
      <c r="C103" s="20"/>
      <c r="D103" s="20"/>
      <c r="E103" s="20"/>
      <c r="F103" s="21"/>
      <c r="G103" s="21"/>
    </row>
    <row r="104" ht="15.75" customHeight="1">
      <c r="C104" s="20"/>
      <c r="D104" s="20"/>
      <c r="E104" s="20"/>
      <c r="F104" s="21"/>
      <c r="G104" s="21"/>
    </row>
    <row r="105" ht="15.75" customHeight="1">
      <c r="C105" s="20"/>
      <c r="D105" s="20"/>
      <c r="E105" s="20"/>
      <c r="F105" s="21"/>
      <c r="G105" s="21"/>
    </row>
    <row r="106" ht="15.75" customHeight="1">
      <c r="C106" s="20"/>
      <c r="D106" s="20"/>
      <c r="E106" s="20"/>
      <c r="F106" s="21"/>
      <c r="G106" s="21"/>
    </row>
    <row r="107" ht="15.75" customHeight="1">
      <c r="C107" s="20"/>
      <c r="D107" s="20"/>
      <c r="E107" s="20"/>
      <c r="F107" s="21"/>
      <c r="G107" s="21"/>
    </row>
    <row r="108" ht="15.75" customHeight="1">
      <c r="C108" s="20"/>
      <c r="D108" s="20"/>
      <c r="E108" s="20"/>
      <c r="F108" s="21"/>
      <c r="G108" s="21"/>
    </row>
    <row r="109" ht="15.75" customHeight="1">
      <c r="C109" s="20"/>
      <c r="D109" s="20"/>
      <c r="E109" s="20"/>
      <c r="F109" s="21"/>
      <c r="G109" s="21"/>
    </row>
    <row r="110" ht="15.75" customHeight="1">
      <c r="C110" s="20"/>
      <c r="D110" s="20"/>
      <c r="E110" s="20"/>
      <c r="F110" s="21"/>
      <c r="G110" s="21"/>
    </row>
    <row r="111" ht="15.75" customHeight="1">
      <c r="C111" s="20"/>
      <c r="D111" s="20"/>
      <c r="E111" s="20"/>
      <c r="F111" s="21"/>
      <c r="G111" s="21"/>
    </row>
    <row r="112" ht="15.75" customHeight="1">
      <c r="C112" s="20"/>
      <c r="D112" s="20"/>
      <c r="E112" s="20"/>
      <c r="F112" s="21"/>
      <c r="G112" s="21"/>
    </row>
    <row r="113" ht="15.75" customHeight="1">
      <c r="C113" s="20"/>
      <c r="D113" s="20"/>
      <c r="E113" s="20"/>
      <c r="F113" s="21"/>
      <c r="G113" s="21"/>
    </row>
    <row r="114" ht="15.75" customHeight="1">
      <c r="C114" s="20"/>
      <c r="D114" s="20"/>
      <c r="E114" s="20"/>
      <c r="F114" s="21"/>
      <c r="G114" s="21"/>
    </row>
    <row r="115" ht="15.75" customHeight="1">
      <c r="C115" s="20"/>
      <c r="D115" s="20"/>
      <c r="E115" s="20"/>
      <c r="F115" s="21"/>
      <c r="G115" s="21"/>
    </row>
    <row r="116" ht="15.75" customHeight="1">
      <c r="C116" s="20"/>
      <c r="D116" s="20"/>
      <c r="E116" s="20"/>
      <c r="F116" s="21"/>
      <c r="G116" s="21"/>
    </row>
    <row r="117" ht="15.75" customHeight="1">
      <c r="C117" s="20"/>
      <c r="D117" s="20"/>
      <c r="E117" s="20"/>
      <c r="F117" s="21"/>
      <c r="G117" s="21"/>
    </row>
    <row r="118" ht="15.75" customHeight="1">
      <c r="C118" s="20"/>
      <c r="D118" s="20"/>
      <c r="E118" s="20"/>
      <c r="F118" s="21"/>
      <c r="G118" s="21"/>
    </row>
    <row r="119" ht="15.75" customHeight="1">
      <c r="C119" s="20"/>
      <c r="D119" s="20"/>
      <c r="E119" s="20"/>
      <c r="F119" s="21"/>
      <c r="G119" s="21"/>
    </row>
    <row r="120" ht="15.75" customHeight="1">
      <c r="C120" s="20"/>
      <c r="D120" s="20"/>
      <c r="E120" s="20"/>
      <c r="F120" s="21"/>
      <c r="G120" s="21"/>
    </row>
    <row r="121" ht="15.75" customHeight="1">
      <c r="C121" s="20"/>
      <c r="D121" s="20"/>
      <c r="E121" s="20"/>
      <c r="F121" s="21"/>
      <c r="G121" s="21"/>
    </row>
    <row r="122" ht="15.75" customHeight="1">
      <c r="C122" s="20"/>
      <c r="D122" s="20"/>
      <c r="E122" s="20"/>
      <c r="F122" s="21"/>
      <c r="G122" s="21"/>
    </row>
    <row r="123" ht="15.75" customHeight="1">
      <c r="C123" s="20"/>
      <c r="D123" s="20"/>
      <c r="E123" s="20"/>
      <c r="F123" s="21"/>
      <c r="G123" s="21"/>
    </row>
    <row r="124" ht="15.75" customHeight="1">
      <c r="C124" s="20"/>
      <c r="D124" s="20"/>
      <c r="E124" s="20"/>
      <c r="F124" s="21"/>
      <c r="G124" s="21"/>
    </row>
    <row r="125" ht="15.75" customHeight="1">
      <c r="C125" s="20"/>
      <c r="D125" s="20"/>
      <c r="E125" s="20"/>
      <c r="F125" s="21"/>
      <c r="G125" s="21"/>
    </row>
    <row r="126" ht="15.75" customHeight="1">
      <c r="C126" s="20"/>
      <c r="D126" s="20"/>
      <c r="E126" s="20"/>
      <c r="F126" s="21"/>
      <c r="G126" s="21"/>
    </row>
    <row r="127" ht="15.75" customHeight="1">
      <c r="C127" s="20"/>
      <c r="D127" s="20"/>
      <c r="E127" s="20"/>
      <c r="F127" s="21"/>
      <c r="G127" s="21"/>
    </row>
    <row r="128" ht="15.75" customHeight="1">
      <c r="C128" s="20"/>
      <c r="D128" s="20"/>
      <c r="E128" s="20"/>
      <c r="F128" s="21"/>
      <c r="G128" s="21"/>
    </row>
    <row r="129" ht="15.75" customHeight="1">
      <c r="C129" s="20"/>
      <c r="D129" s="20"/>
      <c r="E129" s="20"/>
      <c r="F129" s="21"/>
      <c r="G129" s="21"/>
    </row>
    <row r="130" ht="15.75" customHeight="1">
      <c r="C130" s="20"/>
      <c r="D130" s="20"/>
      <c r="E130" s="20"/>
      <c r="F130" s="21"/>
      <c r="G130" s="21"/>
    </row>
    <row r="131" ht="15.75" customHeight="1">
      <c r="C131" s="20"/>
      <c r="D131" s="20"/>
      <c r="E131" s="20"/>
      <c r="F131" s="21"/>
      <c r="G131" s="21"/>
    </row>
    <row r="132" ht="15.75" customHeight="1">
      <c r="C132" s="20"/>
      <c r="D132" s="20"/>
      <c r="E132" s="20"/>
      <c r="F132" s="21"/>
      <c r="G132" s="21"/>
    </row>
    <row r="133" ht="15.75" customHeight="1">
      <c r="C133" s="20"/>
      <c r="D133" s="20"/>
      <c r="E133" s="20"/>
      <c r="F133" s="21"/>
      <c r="G133" s="21"/>
    </row>
    <row r="134" ht="15.75" customHeight="1">
      <c r="C134" s="20"/>
      <c r="D134" s="20"/>
      <c r="E134" s="20"/>
      <c r="F134" s="21"/>
      <c r="G134" s="21"/>
    </row>
    <row r="135" ht="15.75" customHeight="1">
      <c r="C135" s="20"/>
      <c r="D135" s="20"/>
      <c r="E135" s="20"/>
      <c r="F135" s="21"/>
      <c r="G135" s="21"/>
    </row>
    <row r="136" ht="15.75" customHeight="1">
      <c r="C136" s="20"/>
      <c r="D136" s="20"/>
      <c r="E136" s="20"/>
      <c r="F136" s="21"/>
      <c r="G136" s="21"/>
    </row>
    <row r="137" ht="15.75" customHeight="1">
      <c r="C137" s="20"/>
      <c r="D137" s="20"/>
      <c r="E137" s="20"/>
      <c r="F137" s="21"/>
      <c r="G137" s="21"/>
    </row>
    <row r="138" ht="15.75" customHeight="1">
      <c r="C138" s="20"/>
      <c r="D138" s="20"/>
      <c r="E138" s="20"/>
      <c r="F138" s="21"/>
      <c r="G138" s="21"/>
    </row>
    <row r="139" ht="15.75" customHeight="1">
      <c r="C139" s="20"/>
      <c r="D139" s="20"/>
      <c r="E139" s="20"/>
      <c r="F139" s="21"/>
      <c r="G139" s="21"/>
    </row>
    <row r="140" ht="15.75" customHeight="1">
      <c r="C140" s="20"/>
      <c r="D140" s="20"/>
      <c r="E140" s="20"/>
      <c r="F140" s="21"/>
      <c r="G140" s="21"/>
    </row>
    <row r="141" ht="15.75" customHeight="1">
      <c r="C141" s="20"/>
      <c r="D141" s="20"/>
      <c r="E141" s="20"/>
      <c r="F141" s="21"/>
      <c r="G141" s="21"/>
    </row>
    <row r="142" ht="15.75" customHeight="1">
      <c r="C142" s="20"/>
      <c r="D142" s="20"/>
      <c r="E142" s="20"/>
      <c r="F142" s="21"/>
      <c r="G142" s="21"/>
    </row>
    <row r="143" ht="15.75" customHeight="1">
      <c r="C143" s="20"/>
      <c r="D143" s="20"/>
      <c r="E143" s="20"/>
      <c r="F143" s="21"/>
      <c r="G143" s="21"/>
    </row>
    <row r="144" ht="15.75" customHeight="1">
      <c r="C144" s="20"/>
      <c r="D144" s="20"/>
      <c r="E144" s="20"/>
      <c r="F144" s="21"/>
      <c r="G144" s="21"/>
    </row>
    <row r="145" ht="15.75" customHeight="1">
      <c r="C145" s="20"/>
      <c r="D145" s="20"/>
      <c r="E145" s="20"/>
      <c r="F145" s="21"/>
      <c r="G145" s="21"/>
    </row>
    <row r="146" ht="15.75" customHeight="1">
      <c r="C146" s="20"/>
      <c r="D146" s="20"/>
      <c r="E146" s="20"/>
      <c r="F146" s="21"/>
      <c r="G146" s="21"/>
    </row>
    <row r="147" ht="15.75" customHeight="1">
      <c r="C147" s="20"/>
      <c r="D147" s="20"/>
      <c r="E147" s="20"/>
      <c r="F147" s="21"/>
      <c r="G147" s="21"/>
    </row>
    <row r="148" ht="15.75" customHeight="1">
      <c r="C148" s="20"/>
      <c r="D148" s="20"/>
      <c r="E148" s="20"/>
      <c r="F148" s="21"/>
      <c r="G148" s="21"/>
    </row>
    <row r="149" ht="15.75" customHeight="1">
      <c r="C149" s="20"/>
      <c r="D149" s="20"/>
      <c r="E149" s="20"/>
      <c r="F149" s="21"/>
      <c r="G149" s="21"/>
    </row>
    <row r="150" ht="15.75" customHeight="1">
      <c r="C150" s="20"/>
      <c r="D150" s="20"/>
      <c r="E150" s="20"/>
      <c r="F150" s="21"/>
      <c r="G150" s="21"/>
    </row>
    <row r="151" ht="15.75" customHeight="1">
      <c r="C151" s="20"/>
      <c r="D151" s="20"/>
      <c r="E151" s="20"/>
      <c r="F151" s="21"/>
      <c r="G151" s="21"/>
    </row>
    <row r="152" ht="15.75" customHeight="1">
      <c r="C152" s="20"/>
      <c r="D152" s="20"/>
      <c r="E152" s="20"/>
      <c r="F152" s="21"/>
      <c r="G152" s="21"/>
    </row>
    <row r="153" ht="15.75" customHeight="1">
      <c r="C153" s="20"/>
      <c r="D153" s="20"/>
      <c r="E153" s="20"/>
      <c r="F153" s="21"/>
      <c r="G153" s="21"/>
    </row>
    <row r="154" ht="15.75" customHeight="1">
      <c r="C154" s="20"/>
      <c r="D154" s="20"/>
      <c r="E154" s="20"/>
      <c r="F154" s="21"/>
      <c r="G154" s="21"/>
    </row>
    <row r="155" ht="15.75" customHeight="1">
      <c r="C155" s="20"/>
      <c r="D155" s="20"/>
      <c r="E155" s="20"/>
      <c r="F155" s="21"/>
      <c r="G155" s="21"/>
    </row>
    <row r="156" ht="15.75" customHeight="1">
      <c r="C156" s="20"/>
      <c r="D156" s="20"/>
      <c r="E156" s="20"/>
      <c r="F156" s="21"/>
      <c r="G156" s="21"/>
    </row>
    <row r="157" ht="15.75" customHeight="1">
      <c r="C157" s="20"/>
      <c r="D157" s="20"/>
      <c r="E157" s="20"/>
      <c r="F157" s="21"/>
      <c r="G157" s="21"/>
    </row>
    <row r="158" ht="15.75" customHeight="1">
      <c r="C158" s="20"/>
      <c r="D158" s="20"/>
      <c r="E158" s="20"/>
      <c r="F158" s="21"/>
      <c r="G158" s="21"/>
    </row>
    <row r="159" ht="15.75" customHeight="1">
      <c r="C159" s="20"/>
      <c r="D159" s="20"/>
      <c r="E159" s="20"/>
      <c r="F159" s="21"/>
      <c r="G159" s="21"/>
    </row>
    <row r="160" ht="15.75" customHeight="1">
      <c r="C160" s="20"/>
      <c r="D160" s="20"/>
      <c r="E160" s="20"/>
      <c r="F160" s="21"/>
      <c r="G160" s="21"/>
    </row>
    <row r="161" ht="15.75" customHeight="1">
      <c r="C161" s="20"/>
      <c r="D161" s="20"/>
      <c r="E161" s="20"/>
      <c r="F161" s="21"/>
      <c r="G161" s="21"/>
    </row>
    <row r="162" ht="15.75" customHeight="1">
      <c r="C162" s="20"/>
      <c r="D162" s="20"/>
      <c r="E162" s="20"/>
      <c r="F162" s="21"/>
      <c r="G162" s="21"/>
    </row>
    <row r="163" ht="15.75" customHeight="1">
      <c r="C163" s="20"/>
      <c r="D163" s="20"/>
      <c r="E163" s="20"/>
      <c r="F163" s="21"/>
      <c r="G163" s="21"/>
    </row>
    <row r="164" ht="15.75" customHeight="1">
      <c r="C164" s="20"/>
      <c r="D164" s="20"/>
      <c r="E164" s="20"/>
      <c r="F164" s="21"/>
      <c r="G164" s="21"/>
    </row>
    <row r="165" ht="15.75" customHeight="1">
      <c r="C165" s="20"/>
      <c r="D165" s="20"/>
      <c r="E165" s="20"/>
      <c r="F165" s="21"/>
      <c r="G165" s="21"/>
    </row>
    <row r="166" ht="15.75" customHeight="1">
      <c r="C166" s="20"/>
      <c r="D166" s="20"/>
      <c r="E166" s="20"/>
      <c r="F166" s="21"/>
      <c r="G166" s="21"/>
    </row>
    <row r="167" ht="15.75" customHeight="1">
      <c r="C167" s="20"/>
      <c r="D167" s="20"/>
      <c r="E167" s="20"/>
      <c r="F167" s="21"/>
      <c r="G167" s="21"/>
    </row>
    <row r="168" ht="15.75" customHeight="1">
      <c r="C168" s="20"/>
      <c r="D168" s="20"/>
      <c r="E168" s="20"/>
      <c r="F168" s="21"/>
      <c r="G168" s="21"/>
    </row>
    <row r="169" ht="15.75" customHeight="1">
      <c r="C169" s="20"/>
      <c r="D169" s="20"/>
      <c r="E169" s="20"/>
      <c r="F169" s="21"/>
      <c r="G169" s="21"/>
    </row>
    <row r="170" ht="15.75" customHeight="1">
      <c r="C170" s="20"/>
      <c r="D170" s="20"/>
      <c r="E170" s="20"/>
      <c r="F170" s="21"/>
      <c r="G170" s="21"/>
    </row>
    <row r="171" ht="15.75" customHeight="1">
      <c r="C171" s="20"/>
      <c r="D171" s="20"/>
      <c r="E171" s="20"/>
      <c r="F171" s="21"/>
      <c r="G171" s="21"/>
    </row>
    <row r="172" ht="15.75" customHeight="1">
      <c r="C172" s="20"/>
      <c r="D172" s="20"/>
      <c r="E172" s="20"/>
      <c r="F172" s="21"/>
      <c r="G172" s="21"/>
    </row>
    <row r="173" ht="15.75" customHeight="1">
      <c r="C173" s="20"/>
      <c r="D173" s="20"/>
      <c r="E173" s="20"/>
      <c r="F173" s="21"/>
      <c r="G173" s="21"/>
    </row>
    <row r="174" ht="15.75" customHeight="1">
      <c r="C174" s="20"/>
      <c r="D174" s="20"/>
      <c r="E174" s="20"/>
      <c r="F174" s="21"/>
      <c r="G174" s="21"/>
    </row>
    <row r="175" ht="15.75" customHeight="1">
      <c r="C175" s="20"/>
      <c r="D175" s="20"/>
      <c r="E175" s="20"/>
      <c r="F175" s="21"/>
      <c r="G175" s="21"/>
    </row>
    <row r="176" ht="15.75" customHeight="1">
      <c r="C176" s="20"/>
      <c r="D176" s="20"/>
      <c r="E176" s="20"/>
      <c r="F176" s="21"/>
      <c r="G176" s="21"/>
    </row>
    <row r="177" ht="15.75" customHeight="1">
      <c r="C177" s="20"/>
      <c r="D177" s="20"/>
      <c r="E177" s="20"/>
      <c r="F177" s="21"/>
      <c r="G177" s="21"/>
    </row>
    <row r="178" ht="15.75" customHeight="1">
      <c r="C178" s="20"/>
      <c r="D178" s="20"/>
      <c r="E178" s="20"/>
      <c r="F178" s="21"/>
      <c r="G178" s="21"/>
    </row>
    <row r="179" ht="15.75" customHeight="1">
      <c r="C179" s="20"/>
      <c r="D179" s="20"/>
      <c r="E179" s="20"/>
      <c r="F179" s="21"/>
      <c r="G179" s="21"/>
    </row>
    <row r="180" ht="15.75" customHeight="1">
      <c r="C180" s="20"/>
      <c r="D180" s="20"/>
      <c r="E180" s="20"/>
      <c r="F180" s="21"/>
      <c r="G180" s="21"/>
    </row>
    <row r="181" ht="15.75" customHeight="1">
      <c r="C181" s="20"/>
      <c r="D181" s="20"/>
      <c r="E181" s="20"/>
      <c r="F181" s="21"/>
      <c r="G181" s="21"/>
    </row>
    <row r="182" ht="15.75" customHeight="1">
      <c r="C182" s="20"/>
      <c r="D182" s="20"/>
      <c r="E182" s="20"/>
      <c r="F182" s="21"/>
      <c r="G182" s="21"/>
    </row>
    <row r="183" ht="15.75" customHeight="1">
      <c r="C183" s="20"/>
      <c r="D183" s="20"/>
      <c r="E183" s="20"/>
      <c r="F183" s="21"/>
      <c r="G183" s="21"/>
    </row>
    <row r="184" ht="15.75" customHeight="1">
      <c r="C184" s="20"/>
      <c r="D184" s="20"/>
      <c r="E184" s="20"/>
      <c r="F184" s="21"/>
      <c r="G184" s="21"/>
    </row>
    <row r="185" ht="15.75" customHeight="1">
      <c r="C185" s="20"/>
      <c r="D185" s="20"/>
      <c r="E185" s="20"/>
      <c r="F185" s="21"/>
      <c r="G185" s="21"/>
    </row>
    <row r="186" ht="15.75" customHeight="1">
      <c r="C186" s="20"/>
      <c r="D186" s="20"/>
      <c r="E186" s="20"/>
      <c r="F186" s="21"/>
      <c r="G186" s="21"/>
    </row>
    <row r="187" ht="15.75" customHeight="1">
      <c r="C187" s="20"/>
      <c r="D187" s="20"/>
      <c r="E187" s="20"/>
      <c r="F187" s="21"/>
      <c r="G187" s="21"/>
    </row>
    <row r="188" ht="15.75" customHeight="1">
      <c r="C188" s="20"/>
      <c r="D188" s="20"/>
      <c r="E188" s="20"/>
      <c r="F188" s="21"/>
      <c r="G188" s="21"/>
    </row>
    <row r="189" ht="15.75" customHeight="1">
      <c r="C189" s="20"/>
      <c r="D189" s="20"/>
      <c r="E189" s="20"/>
      <c r="F189" s="21"/>
      <c r="G189" s="21"/>
    </row>
    <row r="190" ht="15.75" customHeight="1">
      <c r="C190" s="20"/>
      <c r="D190" s="20"/>
      <c r="E190" s="20"/>
      <c r="F190" s="21"/>
      <c r="G190" s="21"/>
    </row>
    <row r="191" ht="15.75" customHeight="1">
      <c r="C191" s="20"/>
      <c r="D191" s="20"/>
      <c r="E191" s="20"/>
      <c r="F191" s="21"/>
      <c r="G191" s="21"/>
    </row>
    <row r="192" ht="15.75" customHeight="1">
      <c r="C192" s="20"/>
      <c r="D192" s="20"/>
      <c r="E192" s="20"/>
      <c r="F192" s="21"/>
      <c r="G192" s="21"/>
    </row>
    <row r="193" ht="15.75" customHeight="1">
      <c r="C193" s="20"/>
      <c r="D193" s="20"/>
      <c r="E193" s="20"/>
      <c r="F193" s="21"/>
      <c r="G193" s="21"/>
    </row>
    <row r="194" ht="15.75" customHeight="1">
      <c r="C194" s="20"/>
      <c r="D194" s="20"/>
      <c r="E194" s="20"/>
      <c r="F194" s="21"/>
      <c r="G194" s="21"/>
    </row>
    <row r="195" ht="15.75" customHeight="1">
      <c r="C195" s="20"/>
      <c r="D195" s="20"/>
      <c r="E195" s="20"/>
      <c r="F195" s="21"/>
      <c r="G195" s="21"/>
    </row>
    <row r="196" ht="15.75" customHeight="1">
      <c r="C196" s="20"/>
      <c r="D196" s="20"/>
      <c r="E196" s="20"/>
      <c r="F196" s="21"/>
      <c r="G196" s="21"/>
    </row>
    <row r="197" ht="15.75" customHeight="1">
      <c r="C197" s="20"/>
      <c r="D197" s="20"/>
      <c r="E197" s="20"/>
      <c r="F197" s="21"/>
      <c r="G197" s="21"/>
    </row>
    <row r="198" ht="15.75" customHeight="1">
      <c r="C198" s="20"/>
      <c r="D198" s="20"/>
      <c r="E198" s="20"/>
      <c r="F198" s="21"/>
      <c r="G198" s="21"/>
    </row>
    <row r="199" ht="15.75" customHeight="1">
      <c r="C199" s="20"/>
      <c r="D199" s="20"/>
      <c r="E199" s="20"/>
      <c r="F199" s="21"/>
      <c r="G199" s="21"/>
    </row>
    <row r="200" ht="15.75" customHeight="1">
      <c r="C200" s="20"/>
      <c r="D200" s="20"/>
      <c r="E200" s="20"/>
      <c r="F200" s="21"/>
      <c r="G200" s="21"/>
    </row>
    <row r="201" ht="15.75" customHeight="1">
      <c r="C201" s="20"/>
      <c r="D201" s="20"/>
      <c r="E201" s="20"/>
      <c r="F201" s="21"/>
      <c r="G201" s="21"/>
    </row>
    <row r="202" ht="15.75" customHeight="1">
      <c r="C202" s="20"/>
      <c r="D202" s="20"/>
      <c r="E202" s="20"/>
      <c r="F202" s="21"/>
      <c r="G202" s="21"/>
    </row>
    <row r="203" ht="15.75" customHeight="1">
      <c r="C203" s="20"/>
      <c r="D203" s="20"/>
      <c r="E203" s="20"/>
      <c r="F203" s="21"/>
      <c r="G203" s="21"/>
    </row>
    <row r="204" ht="15.75" customHeight="1">
      <c r="C204" s="20"/>
      <c r="D204" s="20"/>
      <c r="E204" s="20"/>
      <c r="F204" s="21"/>
      <c r="G204" s="21"/>
    </row>
    <row r="205" ht="15.75" customHeight="1">
      <c r="C205" s="20"/>
      <c r="D205" s="20"/>
      <c r="E205" s="20"/>
      <c r="F205" s="21"/>
      <c r="G205" s="21"/>
    </row>
    <row r="206" ht="15.75" customHeight="1">
      <c r="C206" s="20"/>
      <c r="D206" s="20"/>
      <c r="E206" s="20"/>
      <c r="F206" s="21"/>
      <c r="G206" s="21"/>
    </row>
    <row r="207" ht="15.75" customHeight="1">
      <c r="C207" s="20"/>
      <c r="D207" s="20"/>
      <c r="E207" s="20"/>
      <c r="F207" s="21"/>
      <c r="G207" s="21"/>
    </row>
    <row r="208" ht="15.75" customHeight="1">
      <c r="C208" s="20"/>
      <c r="D208" s="20"/>
      <c r="E208" s="20"/>
      <c r="F208" s="21"/>
      <c r="G208" s="21"/>
    </row>
    <row r="209" ht="15.75" customHeight="1">
      <c r="C209" s="20"/>
      <c r="D209" s="20"/>
      <c r="E209" s="20"/>
      <c r="F209" s="21"/>
      <c r="G209" s="21"/>
    </row>
    <row r="210" ht="15.75" customHeight="1">
      <c r="C210" s="20"/>
      <c r="D210" s="20"/>
      <c r="E210" s="20"/>
      <c r="F210" s="21"/>
      <c r="G210" s="21"/>
    </row>
    <row r="211" ht="15.75" customHeight="1">
      <c r="C211" s="20"/>
      <c r="D211" s="20"/>
      <c r="E211" s="20"/>
      <c r="F211" s="21"/>
      <c r="G211" s="21"/>
    </row>
    <row r="212" ht="15.75" customHeight="1">
      <c r="C212" s="20"/>
      <c r="D212" s="20"/>
      <c r="E212" s="20"/>
      <c r="F212" s="21"/>
      <c r="G212" s="21"/>
    </row>
    <row r="213" ht="15.75" customHeight="1">
      <c r="C213" s="20"/>
      <c r="D213" s="20"/>
      <c r="E213" s="20"/>
      <c r="F213" s="21"/>
      <c r="G213" s="21"/>
    </row>
    <row r="214" ht="15.75" customHeight="1">
      <c r="C214" s="20"/>
      <c r="D214" s="20"/>
      <c r="E214" s="20"/>
      <c r="F214" s="21"/>
      <c r="G214" s="21"/>
    </row>
    <row r="215" ht="15.75" customHeight="1">
      <c r="C215" s="20"/>
      <c r="D215" s="20"/>
      <c r="E215" s="20"/>
      <c r="F215" s="21"/>
      <c r="G215" s="21"/>
    </row>
    <row r="216" ht="15.75" customHeight="1">
      <c r="C216" s="20"/>
      <c r="D216" s="20"/>
      <c r="E216" s="20"/>
      <c r="F216" s="21"/>
      <c r="G216" s="21"/>
    </row>
    <row r="217" ht="15.75" customHeight="1">
      <c r="C217" s="20"/>
      <c r="D217" s="20"/>
      <c r="E217" s="20"/>
      <c r="F217" s="21"/>
      <c r="G217" s="21"/>
    </row>
    <row r="218" ht="15.75" customHeight="1">
      <c r="C218" s="20"/>
      <c r="D218" s="20"/>
      <c r="E218" s="20"/>
      <c r="F218" s="21"/>
      <c r="G218" s="21"/>
    </row>
    <row r="219" ht="15.75" customHeight="1">
      <c r="C219" s="20"/>
      <c r="D219" s="20"/>
      <c r="E219" s="20"/>
      <c r="F219" s="21"/>
      <c r="G219" s="21"/>
    </row>
    <row r="220" ht="15.75" customHeight="1">
      <c r="C220" s="20"/>
      <c r="D220" s="20"/>
      <c r="E220" s="20"/>
      <c r="F220" s="21"/>
      <c r="G220" s="21"/>
    </row>
    <row r="221" ht="15.75" customHeight="1">
      <c r="C221" s="20"/>
      <c r="D221" s="20"/>
      <c r="E221" s="20"/>
      <c r="F221" s="21"/>
      <c r="G221" s="21"/>
    </row>
    <row r="222" ht="15.75" customHeight="1">
      <c r="C222" s="20"/>
      <c r="D222" s="20"/>
      <c r="E222" s="20"/>
      <c r="F222" s="21"/>
      <c r="G222" s="21"/>
    </row>
    <row r="223" ht="15.75" customHeight="1">
      <c r="C223" s="20"/>
      <c r="D223" s="20"/>
      <c r="E223" s="20"/>
      <c r="F223" s="21"/>
      <c r="G223" s="21"/>
    </row>
    <row r="224" ht="15.75" customHeight="1">
      <c r="C224" s="20"/>
      <c r="D224" s="20"/>
      <c r="E224" s="20"/>
      <c r="F224" s="21"/>
      <c r="G224" s="21"/>
    </row>
    <row r="225" ht="15.75" customHeight="1">
      <c r="C225" s="20"/>
      <c r="D225" s="20"/>
      <c r="E225" s="20"/>
      <c r="F225" s="21"/>
      <c r="G225" s="21"/>
    </row>
    <row r="226" ht="15.75" customHeight="1">
      <c r="C226" s="20"/>
      <c r="D226" s="20"/>
      <c r="E226" s="20"/>
      <c r="F226" s="21"/>
      <c r="G226" s="21"/>
    </row>
    <row r="227" ht="15.75" customHeight="1">
      <c r="C227" s="20"/>
      <c r="D227" s="20"/>
      <c r="E227" s="20"/>
      <c r="F227" s="21"/>
      <c r="G227" s="21"/>
    </row>
    <row r="228" ht="15.75" customHeight="1">
      <c r="C228" s="20"/>
      <c r="D228" s="20"/>
      <c r="E228" s="20"/>
      <c r="F228" s="21"/>
      <c r="G228" s="21"/>
    </row>
    <row r="229" ht="15.75" customHeight="1">
      <c r="C229" s="20"/>
      <c r="D229" s="20"/>
      <c r="E229" s="20"/>
      <c r="F229" s="21"/>
      <c r="G229" s="21"/>
    </row>
    <row r="230" ht="15.75" customHeight="1">
      <c r="C230" s="20"/>
      <c r="D230" s="20"/>
      <c r="E230" s="20"/>
      <c r="F230" s="21"/>
      <c r="G230" s="21"/>
    </row>
    <row r="231" ht="15.75" customHeight="1">
      <c r="C231" s="20"/>
      <c r="D231" s="20"/>
      <c r="E231" s="20"/>
      <c r="F231" s="21"/>
      <c r="G231" s="21"/>
    </row>
    <row r="232" ht="15.75" customHeight="1">
      <c r="C232" s="20"/>
      <c r="D232" s="20"/>
      <c r="E232" s="20"/>
      <c r="F232" s="21"/>
      <c r="G232" s="21"/>
    </row>
    <row r="233" ht="15.75" customHeight="1">
      <c r="C233" s="20"/>
      <c r="D233" s="20"/>
      <c r="E233" s="20"/>
      <c r="F233" s="21"/>
      <c r="G233" s="21"/>
    </row>
    <row r="234" ht="15.75" customHeight="1">
      <c r="C234" s="20"/>
      <c r="D234" s="20"/>
      <c r="E234" s="20"/>
      <c r="F234" s="21"/>
      <c r="G234" s="21"/>
    </row>
    <row r="235" ht="15.75" customHeight="1">
      <c r="C235" s="20"/>
      <c r="D235" s="20"/>
      <c r="E235" s="20"/>
      <c r="F235" s="21"/>
      <c r="G235" s="21"/>
    </row>
    <row r="236" ht="15.75" customHeight="1">
      <c r="C236" s="20"/>
      <c r="D236" s="20"/>
      <c r="E236" s="20"/>
      <c r="F236" s="21"/>
      <c r="G236" s="21"/>
    </row>
    <row r="237" ht="15.75" customHeight="1">
      <c r="C237" s="20"/>
      <c r="D237" s="20"/>
      <c r="E237" s="20"/>
      <c r="F237" s="21"/>
      <c r="G237" s="21"/>
    </row>
    <row r="238" ht="15.75" customHeight="1">
      <c r="C238" s="20"/>
      <c r="D238" s="20"/>
      <c r="E238" s="20"/>
      <c r="F238" s="21"/>
      <c r="G238" s="21"/>
    </row>
    <row r="239" ht="15.75" customHeight="1">
      <c r="C239" s="20"/>
      <c r="D239" s="20"/>
      <c r="E239" s="20"/>
      <c r="F239" s="21"/>
      <c r="G239" s="21"/>
    </row>
    <row r="240" ht="15.75" customHeight="1">
      <c r="C240" s="20"/>
      <c r="D240" s="20"/>
      <c r="E240" s="20"/>
      <c r="F240" s="21"/>
      <c r="G240" s="21"/>
    </row>
    <row r="241" ht="15.75" customHeight="1">
      <c r="C241" s="20"/>
      <c r="D241" s="20"/>
      <c r="E241" s="20"/>
      <c r="F241" s="21"/>
      <c r="G241" s="21"/>
    </row>
    <row r="242" ht="15.75" customHeight="1">
      <c r="C242" s="20"/>
      <c r="D242" s="20"/>
      <c r="E242" s="20"/>
      <c r="F242" s="21"/>
      <c r="G242" s="21"/>
    </row>
    <row r="243" ht="15.75" customHeight="1">
      <c r="C243" s="20"/>
      <c r="D243" s="20"/>
      <c r="E243" s="20"/>
      <c r="F243" s="21"/>
      <c r="G243" s="21"/>
    </row>
    <row r="244" ht="15.75" customHeight="1">
      <c r="C244" s="20"/>
      <c r="D244" s="20"/>
      <c r="E244" s="20"/>
      <c r="F244" s="21"/>
      <c r="G244" s="21"/>
    </row>
    <row r="245" ht="15.75" customHeight="1">
      <c r="C245" s="20"/>
      <c r="D245" s="20"/>
      <c r="E245" s="20"/>
      <c r="F245" s="21"/>
      <c r="G245" s="21"/>
    </row>
    <row r="246" ht="15.75" customHeight="1">
      <c r="C246" s="20"/>
      <c r="D246" s="20"/>
      <c r="E246" s="20"/>
      <c r="F246" s="21"/>
      <c r="G246" s="21"/>
    </row>
    <row r="247" ht="15.75" customHeight="1">
      <c r="C247" s="20"/>
      <c r="D247" s="20"/>
      <c r="E247" s="20"/>
      <c r="F247" s="21"/>
      <c r="G247" s="21"/>
    </row>
    <row r="248" ht="15.75" customHeight="1">
      <c r="C248" s="20"/>
      <c r="D248" s="20"/>
      <c r="E248" s="20"/>
      <c r="F248" s="21"/>
      <c r="G248" s="21"/>
    </row>
    <row r="249" ht="15.75" customHeight="1">
      <c r="C249" s="20"/>
      <c r="D249" s="20"/>
      <c r="E249" s="20"/>
      <c r="F249" s="21"/>
      <c r="G249" s="21"/>
    </row>
    <row r="250" ht="15.75" customHeight="1">
      <c r="C250" s="20"/>
      <c r="D250" s="20"/>
      <c r="E250" s="20"/>
      <c r="F250" s="21"/>
      <c r="G250" s="21"/>
    </row>
    <row r="251" ht="15.75" customHeight="1">
      <c r="C251" s="20"/>
      <c r="D251" s="20"/>
      <c r="E251" s="20"/>
      <c r="F251" s="21"/>
      <c r="G251" s="21"/>
    </row>
    <row r="252" ht="15.75" customHeight="1">
      <c r="C252" s="20"/>
      <c r="D252" s="20"/>
      <c r="E252" s="20"/>
      <c r="F252" s="21"/>
      <c r="G252" s="21"/>
    </row>
    <row r="253" ht="15.75" customHeight="1">
      <c r="C253" s="20"/>
      <c r="D253" s="20"/>
      <c r="E253" s="20"/>
      <c r="F253" s="21"/>
      <c r="G253" s="21"/>
    </row>
    <row r="254" ht="15.75" customHeight="1">
      <c r="C254" s="20"/>
      <c r="D254" s="20"/>
      <c r="E254" s="20"/>
      <c r="F254" s="21"/>
      <c r="G254" s="21"/>
    </row>
    <row r="255" ht="15.75" customHeight="1">
      <c r="C255" s="20"/>
      <c r="D255" s="20"/>
      <c r="E255" s="20"/>
      <c r="F255" s="21"/>
      <c r="G255" s="21"/>
    </row>
    <row r="256" ht="15.75" customHeight="1">
      <c r="C256" s="20"/>
      <c r="D256" s="20"/>
      <c r="E256" s="20"/>
      <c r="F256" s="21"/>
      <c r="G256" s="21"/>
    </row>
    <row r="257" ht="15.75" customHeight="1">
      <c r="C257" s="20"/>
      <c r="D257" s="20"/>
      <c r="E257" s="20"/>
      <c r="F257" s="21"/>
      <c r="G257" s="21"/>
    </row>
    <row r="258" ht="15.75" customHeight="1">
      <c r="C258" s="20"/>
      <c r="D258" s="20"/>
      <c r="E258" s="20"/>
      <c r="F258" s="21"/>
      <c r="G258" s="21"/>
    </row>
    <row r="259" ht="15.75" customHeight="1">
      <c r="C259" s="20"/>
      <c r="D259" s="20"/>
      <c r="E259" s="20"/>
      <c r="F259" s="21"/>
      <c r="G259" s="21"/>
    </row>
    <row r="260" ht="15.75" customHeight="1">
      <c r="C260" s="20"/>
      <c r="D260" s="20"/>
      <c r="E260" s="20"/>
      <c r="F260" s="21"/>
      <c r="G260" s="21"/>
    </row>
    <row r="261" ht="15.75" customHeight="1">
      <c r="C261" s="20"/>
      <c r="D261" s="20"/>
      <c r="E261" s="20"/>
      <c r="F261" s="21"/>
      <c r="G261" s="21"/>
    </row>
    <row r="262" ht="15.75" customHeight="1">
      <c r="C262" s="20"/>
      <c r="D262" s="20"/>
      <c r="E262" s="20"/>
      <c r="F262" s="21"/>
      <c r="G262" s="21"/>
    </row>
    <row r="263" ht="15.75" customHeight="1">
      <c r="C263" s="20"/>
      <c r="D263" s="20"/>
      <c r="E263" s="20"/>
      <c r="F263" s="21"/>
      <c r="G263" s="21"/>
    </row>
    <row r="264" ht="15.75" customHeight="1">
      <c r="C264" s="20"/>
      <c r="D264" s="20"/>
      <c r="E264" s="20"/>
      <c r="F264" s="21"/>
      <c r="G264" s="21"/>
    </row>
    <row r="265" ht="15.75" customHeight="1">
      <c r="C265" s="20"/>
      <c r="D265" s="20"/>
      <c r="E265" s="20"/>
      <c r="F265" s="21"/>
      <c r="G265" s="21"/>
    </row>
    <row r="266" ht="15.75" customHeight="1">
      <c r="C266" s="20"/>
      <c r="D266" s="20"/>
      <c r="E266" s="20"/>
      <c r="F266" s="21"/>
      <c r="G266" s="21"/>
    </row>
    <row r="267" ht="15.75" customHeight="1">
      <c r="C267" s="20"/>
      <c r="D267" s="20"/>
      <c r="E267" s="20"/>
      <c r="F267" s="21"/>
      <c r="G267" s="21"/>
    </row>
    <row r="268" ht="15.75" customHeight="1">
      <c r="C268" s="20"/>
      <c r="D268" s="20"/>
      <c r="E268" s="20"/>
      <c r="F268" s="21"/>
      <c r="G268" s="21"/>
    </row>
    <row r="269" ht="15.75" customHeight="1">
      <c r="C269" s="20"/>
      <c r="D269" s="20"/>
      <c r="E269" s="20"/>
      <c r="F269" s="21"/>
      <c r="G269" s="21"/>
    </row>
    <row r="270" ht="15.75" customHeight="1">
      <c r="C270" s="20"/>
      <c r="D270" s="20"/>
      <c r="E270" s="20"/>
      <c r="F270" s="21"/>
      <c r="G270" s="21"/>
    </row>
    <row r="271" ht="15.75" customHeight="1">
      <c r="C271" s="20"/>
      <c r="D271" s="20"/>
      <c r="E271" s="20"/>
      <c r="F271" s="21"/>
      <c r="G271" s="21"/>
    </row>
    <row r="272" ht="15.75" customHeight="1">
      <c r="C272" s="20"/>
      <c r="D272" s="20"/>
      <c r="E272" s="20"/>
      <c r="F272" s="21"/>
      <c r="G272" s="21"/>
    </row>
    <row r="273" ht="15.75" customHeight="1">
      <c r="C273" s="20"/>
      <c r="D273" s="20"/>
      <c r="E273" s="20"/>
      <c r="F273" s="21"/>
      <c r="G273" s="21"/>
    </row>
    <row r="274" ht="15.75" customHeight="1">
      <c r="C274" s="20"/>
      <c r="D274" s="20"/>
      <c r="E274" s="20"/>
      <c r="F274" s="21"/>
      <c r="G274" s="21"/>
    </row>
    <row r="275" ht="15.75" customHeight="1">
      <c r="C275" s="20"/>
      <c r="D275" s="20"/>
      <c r="E275" s="20"/>
      <c r="F275" s="21"/>
      <c r="G275" s="21"/>
    </row>
    <row r="276" ht="15.75" customHeight="1">
      <c r="C276" s="20"/>
      <c r="D276" s="20"/>
      <c r="E276" s="20"/>
      <c r="F276" s="21"/>
      <c r="G276" s="21"/>
    </row>
    <row r="277" ht="15.75" customHeight="1">
      <c r="C277" s="20"/>
      <c r="D277" s="20"/>
      <c r="E277" s="20"/>
      <c r="F277" s="21"/>
      <c r="G277" s="21"/>
    </row>
    <row r="278" ht="15.75" customHeight="1">
      <c r="C278" s="20"/>
      <c r="D278" s="20"/>
      <c r="E278" s="20"/>
      <c r="F278" s="21"/>
      <c r="G278" s="21"/>
    </row>
    <row r="279" ht="15.75" customHeight="1">
      <c r="C279" s="20"/>
      <c r="D279" s="20"/>
      <c r="E279" s="20"/>
      <c r="F279" s="21"/>
      <c r="G279" s="21"/>
    </row>
    <row r="280" ht="15.75" customHeight="1">
      <c r="C280" s="20"/>
      <c r="D280" s="20"/>
      <c r="E280" s="20"/>
      <c r="F280" s="21"/>
      <c r="G280" s="21"/>
    </row>
    <row r="281" ht="15.75" customHeight="1">
      <c r="C281" s="20"/>
      <c r="D281" s="20"/>
      <c r="E281" s="20"/>
      <c r="F281" s="21"/>
      <c r="G281" s="21"/>
    </row>
    <row r="282" ht="15.75" customHeight="1">
      <c r="C282" s="20"/>
      <c r="D282" s="20"/>
      <c r="E282" s="20"/>
      <c r="F282" s="21"/>
      <c r="G282" s="21"/>
    </row>
    <row r="283" ht="15.75" customHeight="1">
      <c r="C283" s="20"/>
      <c r="D283" s="20"/>
      <c r="E283" s="20"/>
      <c r="F283" s="21"/>
      <c r="G283" s="21"/>
    </row>
    <row r="284" ht="15.75" customHeight="1">
      <c r="C284" s="20"/>
      <c r="D284" s="20"/>
      <c r="E284" s="20"/>
      <c r="F284" s="21"/>
      <c r="G284" s="21"/>
    </row>
    <row r="285" ht="15.75" customHeight="1">
      <c r="C285" s="20"/>
      <c r="D285" s="20"/>
      <c r="E285" s="20"/>
      <c r="F285" s="21"/>
      <c r="G285" s="21"/>
    </row>
    <row r="286" ht="15.75" customHeight="1">
      <c r="C286" s="20"/>
      <c r="D286" s="20"/>
      <c r="E286" s="20"/>
      <c r="F286" s="21"/>
      <c r="G286" s="21"/>
    </row>
    <row r="287" ht="15.75" customHeight="1">
      <c r="C287" s="20"/>
      <c r="D287" s="20"/>
      <c r="E287" s="20"/>
      <c r="F287" s="21"/>
      <c r="G287" s="21"/>
    </row>
    <row r="288" ht="15.75" customHeight="1">
      <c r="C288" s="20"/>
      <c r="D288" s="20"/>
      <c r="E288" s="20"/>
      <c r="F288" s="21"/>
      <c r="G288" s="21"/>
    </row>
    <row r="289" ht="15.75" customHeight="1">
      <c r="C289" s="20"/>
      <c r="D289" s="20"/>
      <c r="E289" s="20"/>
      <c r="F289" s="21"/>
      <c r="G289" s="21"/>
    </row>
    <row r="290" ht="15.75" customHeight="1">
      <c r="C290" s="20"/>
      <c r="D290" s="20"/>
      <c r="E290" s="20"/>
      <c r="F290" s="21"/>
      <c r="G290" s="21"/>
    </row>
    <row r="291" ht="15.75" customHeight="1">
      <c r="C291" s="20"/>
      <c r="D291" s="20"/>
      <c r="E291" s="20"/>
      <c r="F291" s="21"/>
      <c r="G291" s="21"/>
    </row>
    <row r="292" ht="15.75" customHeight="1">
      <c r="C292" s="20"/>
      <c r="D292" s="20"/>
      <c r="E292" s="20"/>
      <c r="F292" s="21"/>
      <c r="G292" s="21"/>
    </row>
    <row r="293" ht="15.75" customHeight="1">
      <c r="C293" s="20"/>
      <c r="D293" s="20"/>
      <c r="E293" s="20"/>
      <c r="F293" s="21"/>
      <c r="G293" s="21"/>
    </row>
    <row r="294" ht="15.75" customHeight="1">
      <c r="C294" s="20"/>
      <c r="D294" s="20"/>
      <c r="E294" s="20"/>
      <c r="F294" s="21"/>
      <c r="G294" s="21"/>
    </row>
    <row r="295" ht="15.75" customHeight="1">
      <c r="C295" s="20"/>
      <c r="D295" s="20"/>
      <c r="E295" s="20"/>
      <c r="F295" s="21"/>
      <c r="G295" s="21"/>
    </row>
    <row r="296" ht="15.75" customHeight="1">
      <c r="C296" s="20"/>
      <c r="D296" s="20"/>
      <c r="E296" s="20"/>
      <c r="F296" s="21"/>
      <c r="G296" s="21"/>
    </row>
    <row r="297" ht="15.75" customHeight="1">
      <c r="C297" s="20"/>
      <c r="D297" s="20"/>
      <c r="E297" s="20"/>
      <c r="F297" s="21"/>
      <c r="G297" s="21"/>
    </row>
    <row r="298" ht="15.75" customHeight="1">
      <c r="C298" s="20"/>
      <c r="D298" s="20"/>
      <c r="E298" s="20"/>
      <c r="F298" s="21"/>
      <c r="G298" s="21"/>
    </row>
    <row r="299" ht="15.75" customHeight="1">
      <c r="C299" s="20"/>
      <c r="D299" s="20"/>
      <c r="E299" s="20"/>
      <c r="F299" s="21"/>
      <c r="G299" s="21"/>
    </row>
    <row r="300" ht="15.75" customHeight="1">
      <c r="C300" s="20"/>
      <c r="D300" s="20"/>
      <c r="E300" s="20"/>
      <c r="F300" s="21"/>
      <c r="G300" s="21"/>
    </row>
    <row r="301" ht="15.75" customHeight="1">
      <c r="C301" s="20"/>
      <c r="D301" s="20"/>
      <c r="E301" s="20"/>
      <c r="F301" s="21"/>
      <c r="G301" s="21"/>
    </row>
    <row r="302" ht="15.75" customHeight="1">
      <c r="C302" s="20"/>
      <c r="D302" s="20"/>
      <c r="E302" s="20"/>
      <c r="F302" s="21"/>
      <c r="G302" s="21"/>
    </row>
    <row r="303" ht="15.75" customHeight="1">
      <c r="C303" s="20"/>
      <c r="D303" s="20"/>
      <c r="E303" s="20"/>
      <c r="F303" s="21"/>
      <c r="G303" s="21"/>
    </row>
    <row r="304" ht="15.75" customHeight="1">
      <c r="C304" s="20"/>
      <c r="D304" s="20"/>
      <c r="E304" s="20"/>
      <c r="F304" s="21"/>
      <c r="G304" s="21"/>
    </row>
    <row r="305" ht="15.75" customHeight="1">
      <c r="C305" s="20"/>
      <c r="D305" s="20"/>
      <c r="E305" s="20"/>
      <c r="F305" s="21"/>
      <c r="G305" s="21"/>
    </row>
    <row r="306" ht="15.75" customHeight="1">
      <c r="C306" s="20"/>
      <c r="D306" s="20"/>
      <c r="E306" s="20"/>
      <c r="F306" s="21"/>
      <c r="G306" s="21"/>
    </row>
    <row r="307" ht="15.75" customHeight="1">
      <c r="C307" s="20"/>
      <c r="D307" s="20"/>
      <c r="E307" s="20"/>
      <c r="F307" s="21"/>
      <c r="G307" s="21"/>
    </row>
    <row r="308" ht="15.75" customHeight="1">
      <c r="C308" s="20"/>
      <c r="D308" s="20"/>
      <c r="E308" s="20"/>
      <c r="F308" s="21"/>
      <c r="G308" s="21"/>
    </row>
    <row r="309" ht="15.75" customHeight="1">
      <c r="C309" s="20"/>
      <c r="D309" s="20"/>
      <c r="E309" s="20"/>
      <c r="F309" s="21"/>
      <c r="G309" s="21"/>
    </row>
    <row r="310" ht="15.75" customHeight="1">
      <c r="C310" s="20"/>
      <c r="D310" s="20"/>
      <c r="E310" s="20"/>
      <c r="F310" s="21"/>
      <c r="G310" s="21"/>
    </row>
    <row r="311" ht="15.75" customHeight="1">
      <c r="C311" s="20"/>
      <c r="D311" s="20"/>
      <c r="E311" s="20"/>
      <c r="F311" s="21"/>
      <c r="G311" s="21"/>
    </row>
    <row r="312" ht="15.75" customHeight="1">
      <c r="C312" s="20"/>
      <c r="D312" s="20"/>
      <c r="E312" s="20"/>
      <c r="F312" s="21"/>
      <c r="G312" s="21"/>
    </row>
    <row r="313" ht="15.75" customHeight="1">
      <c r="C313" s="20"/>
      <c r="D313" s="20"/>
      <c r="E313" s="20"/>
      <c r="F313" s="21"/>
      <c r="G313" s="21"/>
    </row>
    <row r="314" ht="15.75" customHeight="1">
      <c r="C314" s="20"/>
      <c r="D314" s="20"/>
      <c r="E314" s="20"/>
      <c r="F314" s="21"/>
      <c r="G314" s="21"/>
    </row>
    <row r="315" ht="15.75" customHeight="1">
      <c r="C315" s="20"/>
      <c r="D315" s="20"/>
      <c r="E315" s="20"/>
      <c r="F315" s="21"/>
      <c r="G315" s="21"/>
    </row>
    <row r="316" ht="15.75" customHeight="1">
      <c r="C316" s="20"/>
      <c r="D316" s="20"/>
      <c r="E316" s="20"/>
      <c r="F316" s="21"/>
      <c r="G316" s="21"/>
    </row>
    <row r="317" ht="15.75" customHeight="1">
      <c r="C317" s="20"/>
      <c r="D317" s="20"/>
      <c r="E317" s="20"/>
      <c r="F317" s="21"/>
      <c r="G317" s="21"/>
    </row>
    <row r="318" ht="15.75" customHeight="1">
      <c r="C318" s="20"/>
      <c r="D318" s="20"/>
      <c r="E318" s="20"/>
      <c r="F318" s="21"/>
      <c r="G318" s="21"/>
    </row>
    <row r="319" ht="15.75" customHeight="1">
      <c r="C319" s="20"/>
      <c r="D319" s="20"/>
      <c r="E319" s="20"/>
      <c r="F319" s="21"/>
      <c r="G319" s="21"/>
    </row>
    <row r="320" ht="15.75" customHeight="1">
      <c r="C320" s="20"/>
      <c r="D320" s="20"/>
      <c r="E320" s="20"/>
      <c r="F320" s="21"/>
      <c r="G320" s="21"/>
    </row>
    <row r="321" ht="15.75" customHeight="1">
      <c r="C321" s="20"/>
      <c r="D321" s="20"/>
      <c r="E321" s="20"/>
      <c r="F321" s="21"/>
      <c r="G321" s="21"/>
    </row>
    <row r="322" ht="15.75" customHeight="1">
      <c r="C322" s="20"/>
      <c r="D322" s="20"/>
      <c r="E322" s="20"/>
      <c r="F322" s="21"/>
      <c r="G322" s="21"/>
    </row>
    <row r="323" ht="15.75" customHeight="1">
      <c r="C323" s="20"/>
      <c r="D323" s="20"/>
      <c r="E323" s="20"/>
      <c r="F323" s="21"/>
      <c r="G323" s="21"/>
    </row>
    <row r="324" ht="15.75" customHeight="1">
      <c r="C324" s="20"/>
      <c r="D324" s="20"/>
      <c r="E324" s="20"/>
      <c r="F324" s="21"/>
      <c r="G324" s="21"/>
    </row>
    <row r="325" ht="15.75" customHeight="1">
      <c r="C325" s="20"/>
      <c r="D325" s="20"/>
      <c r="E325" s="20"/>
      <c r="F325" s="21"/>
      <c r="G325" s="21"/>
    </row>
    <row r="326" ht="15.75" customHeight="1">
      <c r="C326" s="20"/>
      <c r="D326" s="20"/>
      <c r="E326" s="20"/>
      <c r="F326" s="21"/>
      <c r="G326" s="21"/>
    </row>
    <row r="327" ht="15.75" customHeight="1">
      <c r="C327" s="20"/>
      <c r="D327" s="20"/>
      <c r="E327" s="20"/>
      <c r="F327" s="21"/>
      <c r="G327" s="21"/>
    </row>
    <row r="328" ht="15.75" customHeight="1">
      <c r="C328" s="20"/>
      <c r="D328" s="20"/>
      <c r="E328" s="20"/>
      <c r="F328" s="21"/>
      <c r="G328" s="21"/>
    </row>
    <row r="329" ht="15.75" customHeight="1">
      <c r="C329" s="20"/>
      <c r="D329" s="20"/>
      <c r="E329" s="20"/>
      <c r="F329" s="21"/>
      <c r="G329" s="21"/>
    </row>
    <row r="330" ht="15.75" customHeight="1">
      <c r="C330" s="20"/>
      <c r="D330" s="20"/>
      <c r="E330" s="20"/>
      <c r="F330" s="21"/>
      <c r="G330" s="21"/>
    </row>
    <row r="331" ht="15.75" customHeight="1">
      <c r="C331" s="20"/>
      <c r="D331" s="20"/>
      <c r="E331" s="20"/>
      <c r="F331" s="21"/>
      <c r="G331" s="21"/>
    </row>
    <row r="332" ht="15.75" customHeight="1">
      <c r="C332" s="20"/>
      <c r="D332" s="20"/>
      <c r="E332" s="20"/>
      <c r="F332" s="21"/>
      <c r="G332" s="21"/>
    </row>
    <row r="333" ht="15.75" customHeight="1">
      <c r="C333" s="20"/>
      <c r="D333" s="20"/>
      <c r="E333" s="20"/>
      <c r="F333" s="21"/>
      <c r="G333" s="21"/>
    </row>
    <row r="334" ht="15.75" customHeight="1">
      <c r="C334" s="20"/>
      <c r="D334" s="20"/>
      <c r="E334" s="20"/>
      <c r="F334" s="21"/>
      <c r="G334" s="21"/>
    </row>
    <row r="335" ht="15.75" customHeight="1">
      <c r="C335" s="20"/>
      <c r="D335" s="20"/>
      <c r="E335" s="20"/>
      <c r="F335" s="21"/>
      <c r="G335" s="21"/>
    </row>
    <row r="336" ht="15.75" customHeight="1">
      <c r="C336" s="20"/>
      <c r="D336" s="20"/>
      <c r="E336" s="20"/>
      <c r="F336" s="21"/>
      <c r="G336" s="21"/>
    </row>
    <row r="337" ht="15.75" customHeight="1">
      <c r="C337" s="20"/>
      <c r="D337" s="20"/>
      <c r="E337" s="20"/>
      <c r="F337" s="21"/>
      <c r="G337" s="21"/>
    </row>
    <row r="338" ht="15.75" customHeight="1">
      <c r="C338" s="20"/>
      <c r="D338" s="20"/>
      <c r="E338" s="20"/>
      <c r="F338" s="21"/>
      <c r="G338" s="21"/>
    </row>
    <row r="339" ht="15.75" customHeight="1">
      <c r="C339" s="20"/>
      <c r="D339" s="20"/>
      <c r="E339" s="20"/>
      <c r="F339" s="21"/>
      <c r="G339" s="21"/>
    </row>
    <row r="340" ht="15.75" customHeight="1">
      <c r="C340" s="20"/>
      <c r="D340" s="20"/>
      <c r="E340" s="20"/>
      <c r="F340" s="21"/>
      <c r="G340" s="21"/>
    </row>
    <row r="341" ht="15.75" customHeight="1">
      <c r="C341" s="20"/>
      <c r="D341" s="20"/>
      <c r="E341" s="20"/>
      <c r="F341" s="21"/>
      <c r="G341" s="21"/>
    </row>
    <row r="342" ht="15.75" customHeight="1">
      <c r="C342" s="20"/>
      <c r="D342" s="20"/>
      <c r="E342" s="20"/>
      <c r="F342" s="21"/>
      <c r="G342" s="21"/>
    </row>
    <row r="343" ht="15.75" customHeight="1">
      <c r="C343" s="20"/>
      <c r="D343" s="20"/>
      <c r="E343" s="20"/>
      <c r="F343" s="21"/>
      <c r="G343" s="21"/>
    </row>
    <row r="344" ht="15.75" customHeight="1">
      <c r="C344" s="20"/>
      <c r="D344" s="20"/>
      <c r="E344" s="20"/>
      <c r="F344" s="21"/>
      <c r="G344" s="21"/>
    </row>
    <row r="345" ht="15.75" customHeight="1">
      <c r="C345" s="20"/>
      <c r="D345" s="20"/>
      <c r="E345" s="20"/>
      <c r="F345" s="21"/>
      <c r="G345" s="21"/>
    </row>
    <row r="346" ht="15.75" customHeight="1">
      <c r="C346" s="20"/>
      <c r="D346" s="20"/>
      <c r="E346" s="20"/>
      <c r="F346" s="21"/>
      <c r="G346" s="21"/>
    </row>
    <row r="347" ht="15.75" customHeight="1">
      <c r="C347" s="20"/>
      <c r="D347" s="20"/>
      <c r="E347" s="20"/>
      <c r="F347" s="21"/>
      <c r="G347" s="21"/>
    </row>
    <row r="348" ht="15.75" customHeight="1">
      <c r="C348" s="20"/>
      <c r="D348" s="20"/>
      <c r="E348" s="20"/>
      <c r="F348" s="21"/>
      <c r="G348" s="21"/>
    </row>
    <row r="349" ht="15.75" customHeight="1">
      <c r="C349" s="20"/>
      <c r="D349" s="20"/>
      <c r="E349" s="20"/>
      <c r="F349" s="21"/>
      <c r="G349" s="21"/>
    </row>
    <row r="350" ht="15.75" customHeight="1">
      <c r="C350" s="20"/>
      <c r="D350" s="20"/>
      <c r="E350" s="20"/>
      <c r="F350" s="21"/>
      <c r="G350" s="21"/>
    </row>
    <row r="351" ht="15.75" customHeight="1">
      <c r="C351" s="20"/>
      <c r="D351" s="20"/>
      <c r="E351" s="20"/>
      <c r="F351" s="21"/>
      <c r="G351" s="21"/>
    </row>
    <row r="352" ht="15.75" customHeight="1">
      <c r="C352" s="20"/>
      <c r="D352" s="20"/>
      <c r="E352" s="20"/>
      <c r="F352" s="21"/>
      <c r="G352" s="21"/>
    </row>
    <row r="353" ht="15.75" customHeight="1">
      <c r="C353" s="20"/>
      <c r="D353" s="20"/>
      <c r="E353" s="20"/>
      <c r="F353" s="21"/>
      <c r="G353" s="21"/>
    </row>
    <row r="354" ht="15.75" customHeight="1">
      <c r="C354" s="20"/>
      <c r="D354" s="20"/>
      <c r="E354" s="20"/>
      <c r="F354" s="21"/>
      <c r="G354" s="21"/>
    </row>
    <row r="355" ht="15.75" customHeight="1">
      <c r="C355" s="20"/>
      <c r="D355" s="20"/>
      <c r="E355" s="20"/>
      <c r="F355" s="21"/>
      <c r="G355" s="21"/>
    </row>
    <row r="356" ht="15.75" customHeight="1">
      <c r="C356" s="20"/>
      <c r="D356" s="20"/>
      <c r="E356" s="20"/>
      <c r="F356" s="21"/>
      <c r="G356" s="21"/>
    </row>
    <row r="357" ht="15.75" customHeight="1">
      <c r="C357" s="20"/>
      <c r="D357" s="20"/>
      <c r="E357" s="20"/>
      <c r="F357" s="21"/>
      <c r="G357" s="21"/>
    </row>
    <row r="358" ht="15.75" customHeight="1">
      <c r="C358" s="20"/>
      <c r="D358" s="20"/>
      <c r="E358" s="20"/>
      <c r="F358" s="21"/>
      <c r="G358" s="21"/>
    </row>
    <row r="359" ht="15.75" customHeight="1">
      <c r="C359" s="20"/>
      <c r="D359" s="20"/>
      <c r="E359" s="20"/>
      <c r="F359" s="21"/>
      <c r="G359" s="21"/>
    </row>
    <row r="360" ht="15.75" customHeight="1">
      <c r="C360" s="20"/>
      <c r="D360" s="20"/>
      <c r="E360" s="20"/>
      <c r="F360" s="21"/>
      <c r="G360" s="21"/>
    </row>
    <row r="361" ht="15.75" customHeight="1">
      <c r="C361" s="20"/>
      <c r="D361" s="20"/>
      <c r="E361" s="20"/>
      <c r="F361" s="21"/>
      <c r="G361" s="21"/>
    </row>
    <row r="362" ht="15.75" customHeight="1">
      <c r="C362" s="20"/>
      <c r="D362" s="20"/>
      <c r="E362" s="20"/>
      <c r="F362" s="21"/>
      <c r="G362" s="21"/>
    </row>
    <row r="363" ht="15.75" customHeight="1">
      <c r="C363" s="20"/>
      <c r="D363" s="20"/>
      <c r="E363" s="20"/>
      <c r="F363" s="21"/>
      <c r="G363" s="21"/>
    </row>
    <row r="364" ht="15.75" customHeight="1">
      <c r="C364" s="20"/>
      <c r="D364" s="20"/>
      <c r="E364" s="20"/>
      <c r="F364" s="21"/>
      <c r="G364" s="21"/>
    </row>
    <row r="365" ht="15.75" customHeight="1">
      <c r="C365" s="20"/>
      <c r="D365" s="20"/>
      <c r="E365" s="20"/>
      <c r="F365" s="21"/>
      <c r="G365" s="21"/>
    </row>
    <row r="366" ht="15.75" customHeight="1">
      <c r="C366" s="20"/>
      <c r="D366" s="20"/>
      <c r="E366" s="20"/>
      <c r="F366" s="21"/>
      <c r="G366" s="21"/>
    </row>
    <row r="367" ht="15.75" customHeight="1">
      <c r="C367" s="20"/>
      <c r="D367" s="20"/>
      <c r="E367" s="20"/>
      <c r="F367" s="21"/>
      <c r="G367" s="21"/>
    </row>
    <row r="368" ht="15.75" customHeight="1">
      <c r="C368" s="20"/>
      <c r="D368" s="20"/>
      <c r="E368" s="20"/>
      <c r="F368" s="21"/>
      <c r="G368" s="21"/>
    </row>
    <row r="369" ht="15.75" customHeight="1">
      <c r="C369" s="20"/>
      <c r="D369" s="20"/>
      <c r="E369" s="20"/>
      <c r="F369" s="21"/>
      <c r="G369" s="21"/>
    </row>
    <row r="370" ht="15.75" customHeight="1">
      <c r="C370" s="20"/>
      <c r="D370" s="20"/>
      <c r="E370" s="20"/>
      <c r="F370" s="21"/>
      <c r="G370" s="21"/>
    </row>
    <row r="371" ht="15.75" customHeight="1">
      <c r="C371" s="20"/>
      <c r="D371" s="20"/>
      <c r="E371" s="20"/>
      <c r="F371" s="21"/>
      <c r="G371" s="21"/>
    </row>
    <row r="372" ht="15.75" customHeight="1">
      <c r="C372" s="20"/>
      <c r="D372" s="20"/>
      <c r="E372" s="20"/>
      <c r="F372" s="21"/>
      <c r="G372" s="21"/>
    </row>
    <row r="373" ht="15.75" customHeight="1">
      <c r="C373" s="20"/>
      <c r="D373" s="20"/>
      <c r="E373" s="20"/>
      <c r="F373" s="21"/>
      <c r="G373" s="21"/>
    </row>
    <row r="374" ht="15.75" customHeight="1">
      <c r="C374" s="20"/>
      <c r="D374" s="20"/>
      <c r="E374" s="20"/>
      <c r="F374" s="21"/>
      <c r="G374" s="21"/>
    </row>
    <row r="375" ht="15.75" customHeight="1">
      <c r="C375" s="20"/>
      <c r="D375" s="20"/>
      <c r="E375" s="20"/>
      <c r="F375" s="21"/>
      <c r="G375" s="21"/>
    </row>
    <row r="376" ht="15.75" customHeight="1">
      <c r="C376" s="20"/>
      <c r="D376" s="20"/>
      <c r="E376" s="20"/>
      <c r="F376" s="21"/>
      <c r="G376" s="21"/>
    </row>
    <row r="377" ht="15.75" customHeight="1">
      <c r="C377" s="20"/>
      <c r="D377" s="20"/>
      <c r="E377" s="20"/>
      <c r="F377" s="21"/>
      <c r="G377" s="21"/>
    </row>
    <row r="378" ht="15.75" customHeight="1">
      <c r="C378" s="20"/>
      <c r="D378" s="20"/>
      <c r="E378" s="20"/>
      <c r="F378" s="21"/>
      <c r="G378" s="21"/>
    </row>
    <row r="379" ht="15.75" customHeight="1">
      <c r="C379" s="20"/>
      <c r="D379" s="20"/>
      <c r="E379" s="20"/>
      <c r="F379" s="21"/>
      <c r="G379" s="21"/>
    </row>
    <row r="380" ht="15.75" customHeight="1">
      <c r="C380" s="20"/>
      <c r="D380" s="20"/>
      <c r="E380" s="20"/>
      <c r="F380" s="21"/>
      <c r="G380" s="21"/>
    </row>
    <row r="381" ht="15.75" customHeight="1">
      <c r="C381" s="20"/>
      <c r="D381" s="20"/>
      <c r="E381" s="20"/>
      <c r="F381" s="21"/>
      <c r="G381" s="21"/>
    </row>
    <row r="382" ht="15.75" customHeight="1">
      <c r="C382" s="20"/>
      <c r="D382" s="20"/>
      <c r="E382" s="20"/>
      <c r="F382" s="21"/>
      <c r="G382" s="21"/>
    </row>
    <row r="383" ht="15.75" customHeight="1">
      <c r="C383" s="20"/>
      <c r="D383" s="20"/>
      <c r="E383" s="20"/>
      <c r="F383" s="21"/>
      <c r="G383" s="21"/>
    </row>
    <row r="384" ht="15.75" customHeight="1">
      <c r="C384" s="20"/>
      <c r="D384" s="20"/>
      <c r="E384" s="20"/>
      <c r="F384" s="21"/>
      <c r="G384" s="21"/>
    </row>
    <row r="385" ht="15.75" customHeight="1">
      <c r="C385" s="20"/>
      <c r="D385" s="20"/>
      <c r="E385" s="20"/>
      <c r="F385" s="21"/>
      <c r="G385" s="21"/>
    </row>
    <row r="386" ht="15.75" customHeight="1">
      <c r="C386" s="20"/>
      <c r="D386" s="20"/>
      <c r="E386" s="20"/>
      <c r="F386" s="21"/>
      <c r="G386" s="21"/>
    </row>
    <row r="387" ht="15.75" customHeight="1">
      <c r="C387" s="20"/>
      <c r="D387" s="20"/>
      <c r="E387" s="20"/>
      <c r="F387" s="21"/>
      <c r="G387" s="21"/>
    </row>
    <row r="388" ht="15.75" customHeight="1">
      <c r="C388" s="20"/>
      <c r="D388" s="20"/>
      <c r="E388" s="20"/>
      <c r="F388" s="21"/>
      <c r="G388" s="21"/>
    </row>
    <row r="389" ht="15.75" customHeight="1">
      <c r="C389" s="20"/>
      <c r="D389" s="20"/>
      <c r="E389" s="20"/>
      <c r="F389" s="21"/>
      <c r="G389" s="21"/>
    </row>
    <row r="390" ht="15.75" customHeight="1">
      <c r="C390" s="20"/>
      <c r="D390" s="20"/>
      <c r="E390" s="20"/>
      <c r="F390" s="21"/>
      <c r="G390" s="21"/>
    </row>
    <row r="391" ht="15.75" customHeight="1">
      <c r="C391" s="20"/>
      <c r="D391" s="20"/>
      <c r="E391" s="20"/>
      <c r="F391" s="21"/>
      <c r="G391" s="21"/>
    </row>
    <row r="392" ht="15.75" customHeight="1">
      <c r="C392" s="20"/>
      <c r="D392" s="20"/>
      <c r="E392" s="20"/>
      <c r="F392" s="21"/>
      <c r="G392" s="21"/>
    </row>
    <row r="393" ht="15.75" customHeight="1">
      <c r="C393" s="20"/>
      <c r="D393" s="20"/>
      <c r="E393" s="20"/>
      <c r="F393" s="21"/>
      <c r="G393" s="21"/>
    </row>
    <row r="394" ht="15.75" customHeight="1">
      <c r="C394" s="20"/>
      <c r="D394" s="20"/>
      <c r="E394" s="20"/>
      <c r="F394" s="21"/>
      <c r="G394" s="21"/>
    </row>
    <row r="395" ht="15.75" customHeight="1">
      <c r="C395" s="20"/>
      <c r="D395" s="20"/>
      <c r="E395" s="20"/>
      <c r="F395" s="21"/>
      <c r="G395" s="21"/>
    </row>
    <row r="396" ht="15.75" customHeight="1">
      <c r="C396" s="20"/>
      <c r="D396" s="20"/>
      <c r="E396" s="20"/>
      <c r="F396" s="21"/>
      <c r="G396" s="21"/>
    </row>
    <row r="397" ht="15.75" customHeight="1">
      <c r="C397" s="20"/>
      <c r="D397" s="20"/>
      <c r="E397" s="20"/>
      <c r="F397" s="21"/>
      <c r="G397" s="21"/>
    </row>
    <row r="398" ht="15.75" customHeight="1">
      <c r="C398" s="20"/>
      <c r="D398" s="20"/>
      <c r="E398" s="20"/>
      <c r="F398" s="21"/>
      <c r="G398" s="21"/>
    </row>
    <row r="399" ht="15.75" customHeight="1">
      <c r="C399" s="20"/>
      <c r="D399" s="20"/>
      <c r="E399" s="20"/>
      <c r="F399" s="21"/>
      <c r="G399" s="21"/>
    </row>
    <row r="400" ht="15.75" customHeight="1">
      <c r="C400" s="20"/>
      <c r="D400" s="20"/>
      <c r="E400" s="20"/>
      <c r="F400" s="21"/>
      <c r="G400" s="21"/>
    </row>
    <row r="401" ht="15.75" customHeight="1">
      <c r="C401" s="20"/>
      <c r="D401" s="20"/>
      <c r="E401" s="20"/>
      <c r="F401" s="21"/>
      <c r="G401" s="21"/>
    </row>
    <row r="402" ht="15.75" customHeight="1">
      <c r="C402" s="20"/>
      <c r="D402" s="20"/>
      <c r="E402" s="20"/>
      <c r="F402" s="21"/>
      <c r="G402" s="21"/>
    </row>
    <row r="403" ht="15.75" customHeight="1">
      <c r="C403" s="20"/>
      <c r="D403" s="20"/>
      <c r="E403" s="20"/>
      <c r="F403" s="21"/>
      <c r="G403" s="21"/>
    </row>
    <row r="404" ht="15.75" customHeight="1">
      <c r="C404" s="20"/>
      <c r="D404" s="20"/>
      <c r="E404" s="20"/>
      <c r="F404" s="21"/>
      <c r="G404" s="21"/>
    </row>
    <row r="405" ht="15.75" customHeight="1">
      <c r="C405" s="20"/>
      <c r="D405" s="20"/>
      <c r="E405" s="20"/>
      <c r="F405" s="21"/>
      <c r="G405" s="21"/>
    </row>
    <row r="406" ht="15.75" customHeight="1">
      <c r="C406" s="20"/>
      <c r="D406" s="20"/>
      <c r="E406" s="20"/>
      <c r="F406" s="21"/>
      <c r="G406" s="21"/>
    </row>
    <row r="407" ht="15.75" customHeight="1">
      <c r="C407" s="20"/>
      <c r="D407" s="20"/>
      <c r="E407" s="20"/>
      <c r="F407" s="21"/>
      <c r="G407" s="21"/>
    </row>
    <row r="408" ht="15.75" customHeight="1">
      <c r="C408" s="20"/>
      <c r="D408" s="20"/>
      <c r="E408" s="20"/>
      <c r="F408" s="21"/>
      <c r="G408" s="21"/>
    </row>
    <row r="409" ht="15.75" customHeight="1">
      <c r="C409" s="20"/>
      <c r="D409" s="20"/>
      <c r="E409" s="20"/>
      <c r="F409" s="21"/>
      <c r="G409" s="21"/>
    </row>
    <row r="410" ht="15.75" customHeight="1">
      <c r="C410" s="20"/>
      <c r="D410" s="20"/>
      <c r="E410" s="20"/>
      <c r="F410" s="21"/>
      <c r="G410" s="21"/>
    </row>
    <row r="411" ht="15.75" customHeight="1">
      <c r="C411" s="20"/>
      <c r="D411" s="20"/>
      <c r="E411" s="20"/>
      <c r="F411" s="21"/>
      <c r="G411" s="21"/>
    </row>
    <row r="412" ht="15.75" customHeight="1">
      <c r="C412" s="20"/>
      <c r="D412" s="20"/>
      <c r="E412" s="20"/>
      <c r="F412" s="21"/>
      <c r="G412" s="21"/>
    </row>
    <row r="413" ht="15.75" customHeight="1">
      <c r="C413" s="20"/>
      <c r="D413" s="20"/>
      <c r="E413" s="20"/>
      <c r="F413" s="21"/>
      <c r="G413" s="21"/>
    </row>
    <row r="414" ht="15.75" customHeight="1">
      <c r="C414" s="20"/>
      <c r="D414" s="20"/>
      <c r="E414" s="20"/>
      <c r="F414" s="21"/>
      <c r="G414" s="21"/>
    </row>
    <row r="415" ht="15.75" customHeight="1">
      <c r="C415" s="20"/>
      <c r="D415" s="20"/>
      <c r="E415" s="20"/>
      <c r="F415" s="21"/>
      <c r="G415" s="21"/>
    </row>
    <row r="416" ht="15.75" customHeight="1">
      <c r="C416" s="20"/>
      <c r="D416" s="20"/>
      <c r="E416" s="20"/>
      <c r="F416" s="21"/>
      <c r="G416" s="21"/>
    </row>
    <row r="417" ht="15.75" customHeight="1">
      <c r="C417" s="20"/>
      <c r="D417" s="20"/>
      <c r="E417" s="20"/>
      <c r="F417" s="21"/>
      <c r="G417" s="21"/>
    </row>
    <row r="418" ht="15.75" customHeight="1">
      <c r="C418" s="20"/>
      <c r="D418" s="20"/>
      <c r="E418" s="20"/>
      <c r="F418" s="21"/>
      <c r="G418" s="21"/>
    </row>
    <row r="419" ht="15.75" customHeight="1">
      <c r="C419" s="20"/>
      <c r="D419" s="20"/>
      <c r="E419" s="20"/>
      <c r="F419" s="21"/>
      <c r="G419" s="21"/>
    </row>
    <row r="420" ht="15.75" customHeight="1">
      <c r="C420" s="20"/>
      <c r="D420" s="20"/>
      <c r="E420" s="20"/>
      <c r="F420" s="21"/>
      <c r="G420" s="21"/>
    </row>
    <row r="421" ht="15.75" customHeight="1">
      <c r="C421" s="20"/>
      <c r="D421" s="20"/>
      <c r="E421" s="20"/>
      <c r="F421" s="21"/>
      <c r="G421" s="21"/>
    </row>
    <row r="422" ht="15.75" customHeight="1">
      <c r="C422" s="20"/>
      <c r="D422" s="20"/>
      <c r="E422" s="20"/>
      <c r="F422" s="21"/>
      <c r="G422" s="21"/>
    </row>
    <row r="423" ht="15.75" customHeight="1">
      <c r="C423" s="20"/>
      <c r="D423" s="20"/>
      <c r="E423" s="20"/>
      <c r="F423" s="21"/>
      <c r="G423" s="21"/>
    </row>
    <row r="424" ht="15.75" customHeight="1">
      <c r="C424" s="20"/>
      <c r="D424" s="20"/>
      <c r="E424" s="20"/>
      <c r="F424" s="21"/>
      <c r="G424" s="21"/>
    </row>
    <row r="425" ht="15.75" customHeight="1">
      <c r="C425" s="20"/>
      <c r="D425" s="20"/>
      <c r="E425" s="20"/>
      <c r="F425" s="21"/>
      <c r="G425" s="21"/>
    </row>
    <row r="426" ht="15.75" customHeight="1">
      <c r="C426" s="20"/>
      <c r="D426" s="20"/>
      <c r="E426" s="20"/>
      <c r="F426" s="21"/>
      <c r="G426" s="21"/>
    </row>
    <row r="427" ht="15.75" customHeight="1">
      <c r="C427" s="20"/>
      <c r="D427" s="20"/>
      <c r="E427" s="20"/>
      <c r="F427" s="21"/>
      <c r="G427" s="21"/>
    </row>
    <row r="428" ht="15.75" customHeight="1">
      <c r="C428" s="20"/>
      <c r="D428" s="20"/>
      <c r="E428" s="20"/>
      <c r="F428" s="21"/>
      <c r="G428" s="21"/>
    </row>
    <row r="429" ht="15.75" customHeight="1">
      <c r="C429" s="20"/>
      <c r="D429" s="20"/>
      <c r="E429" s="20"/>
      <c r="F429" s="21"/>
      <c r="G429" s="21"/>
    </row>
    <row r="430" ht="15.75" customHeight="1">
      <c r="C430" s="20"/>
      <c r="D430" s="20"/>
      <c r="E430" s="20"/>
      <c r="F430" s="21"/>
      <c r="G430" s="21"/>
    </row>
    <row r="431" ht="15.75" customHeight="1">
      <c r="C431" s="20"/>
      <c r="D431" s="20"/>
      <c r="E431" s="20"/>
      <c r="F431" s="21"/>
      <c r="G431" s="21"/>
    </row>
    <row r="432" ht="15.75" customHeight="1">
      <c r="C432" s="20"/>
      <c r="D432" s="20"/>
      <c r="E432" s="20"/>
      <c r="F432" s="21"/>
      <c r="G432" s="21"/>
    </row>
    <row r="433" ht="15.75" customHeight="1">
      <c r="C433" s="20"/>
      <c r="D433" s="20"/>
      <c r="E433" s="20"/>
      <c r="F433" s="21"/>
      <c r="G433" s="21"/>
    </row>
    <row r="434" ht="15.75" customHeight="1">
      <c r="C434" s="20"/>
      <c r="D434" s="20"/>
      <c r="E434" s="20"/>
      <c r="F434" s="21"/>
      <c r="G434" s="21"/>
    </row>
    <row r="435" ht="15.75" customHeight="1">
      <c r="C435" s="20"/>
      <c r="D435" s="20"/>
      <c r="E435" s="20"/>
      <c r="F435" s="21"/>
      <c r="G435" s="21"/>
    </row>
    <row r="436" ht="15.75" customHeight="1">
      <c r="C436" s="20"/>
      <c r="D436" s="20"/>
      <c r="E436" s="20"/>
      <c r="F436" s="21"/>
      <c r="G436" s="21"/>
    </row>
    <row r="437" ht="15.75" customHeight="1">
      <c r="C437" s="20"/>
      <c r="D437" s="20"/>
      <c r="E437" s="20"/>
      <c r="F437" s="21"/>
      <c r="G437" s="21"/>
    </row>
    <row r="438" ht="15.75" customHeight="1">
      <c r="C438" s="20"/>
      <c r="D438" s="20"/>
      <c r="E438" s="20"/>
      <c r="F438" s="21"/>
      <c r="G438" s="21"/>
    </row>
    <row r="439" ht="15.75" customHeight="1">
      <c r="C439" s="20"/>
      <c r="D439" s="20"/>
      <c r="E439" s="20"/>
      <c r="F439" s="21"/>
      <c r="G439" s="21"/>
    </row>
    <row r="440" ht="15.75" customHeight="1">
      <c r="C440" s="20"/>
      <c r="D440" s="20"/>
      <c r="E440" s="20"/>
      <c r="F440" s="21"/>
      <c r="G440" s="21"/>
    </row>
    <row r="441" ht="15.75" customHeight="1">
      <c r="C441" s="20"/>
      <c r="D441" s="20"/>
      <c r="E441" s="20"/>
      <c r="F441" s="21"/>
      <c r="G441" s="21"/>
    </row>
    <row r="442" ht="15.75" customHeight="1">
      <c r="C442" s="20"/>
      <c r="D442" s="20"/>
      <c r="E442" s="20"/>
      <c r="F442" s="21"/>
      <c r="G442" s="21"/>
    </row>
    <row r="443" ht="15.75" customHeight="1">
      <c r="C443" s="20"/>
      <c r="D443" s="20"/>
      <c r="E443" s="20"/>
      <c r="F443" s="21"/>
      <c r="G443" s="21"/>
    </row>
    <row r="444" ht="15.75" customHeight="1">
      <c r="C444" s="20"/>
      <c r="D444" s="20"/>
      <c r="E444" s="20"/>
      <c r="F444" s="21"/>
      <c r="G444" s="21"/>
    </row>
    <row r="445" ht="15.75" customHeight="1">
      <c r="C445" s="20"/>
      <c r="D445" s="20"/>
      <c r="E445" s="20"/>
      <c r="F445" s="21"/>
      <c r="G445" s="21"/>
    </row>
    <row r="446" ht="15.75" customHeight="1">
      <c r="C446" s="20"/>
      <c r="D446" s="20"/>
      <c r="E446" s="20"/>
      <c r="F446" s="21"/>
      <c r="G446" s="21"/>
    </row>
    <row r="447" ht="15.75" customHeight="1">
      <c r="C447" s="20"/>
      <c r="D447" s="20"/>
      <c r="E447" s="20"/>
      <c r="F447" s="21"/>
      <c r="G447" s="21"/>
    </row>
    <row r="448" ht="15.75" customHeight="1">
      <c r="C448" s="20"/>
      <c r="D448" s="20"/>
      <c r="E448" s="20"/>
      <c r="F448" s="21"/>
      <c r="G448" s="21"/>
    </row>
    <row r="449" ht="15.75" customHeight="1">
      <c r="C449" s="20"/>
      <c r="D449" s="20"/>
      <c r="E449" s="20"/>
      <c r="F449" s="21"/>
      <c r="G449" s="21"/>
    </row>
    <row r="450" ht="15.75" customHeight="1">
      <c r="C450" s="20"/>
      <c r="D450" s="20"/>
      <c r="E450" s="20"/>
      <c r="F450" s="21"/>
      <c r="G450" s="21"/>
    </row>
    <row r="451" ht="15.75" customHeight="1">
      <c r="C451" s="20"/>
      <c r="D451" s="20"/>
      <c r="E451" s="20"/>
      <c r="F451" s="21"/>
      <c r="G451" s="21"/>
    </row>
    <row r="452" ht="15.75" customHeight="1">
      <c r="C452" s="20"/>
      <c r="D452" s="20"/>
      <c r="E452" s="20"/>
      <c r="F452" s="21"/>
      <c r="G452" s="21"/>
    </row>
    <row r="453" ht="15.75" customHeight="1">
      <c r="C453" s="20"/>
      <c r="D453" s="20"/>
      <c r="E453" s="20"/>
      <c r="F453" s="21"/>
      <c r="G453" s="21"/>
    </row>
    <row r="454" ht="15.75" customHeight="1">
      <c r="C454" s="20"/>
      <c r="D454" s="20"/>
      <c r="E454" s="20"/>
      <c r="F454" s="21"/>
      <c r="G454" s="21"/>
    </row>
    <row r="455" ht="15.75" customHeight="1">
      <c r="C455" s="20"/>
      <c r="D455" s="20"/>
      <c r="E455" s="20"/>
      <c r="F455" s="21"/>
      <c r="G455" s="21"/>
    </row>
    <row r="456" ht="15.75" customHeight="1">
      <c r="C456" s="20"/>
      <c r="D456" s="20"/>
      <c r="E456" s="20"/>
      <c r="F456" s="21"/>
      <c r="G456" s="21"/>
    </row>
    <row r="457" ht="15.75" customHeight="1">
      <c r="C457" s="20"/>
      <c r="D457" s="20"/>
      <c r="E457" s="20"/>
      <c r="F457" s="21"/>
      <c r="G457" s="21"/>
    </row>
    <row r="458" ht="15.75" customHeight="1">
      <c r="C458" s="20"/>
      <c r="D458" s="20"/>
      <c r="E458" s="20"/>
      <c r="F458" s="21"/>
      <c r="G458" s="21"/>
    </row>
    <row r="459" ht="15.75" customHeight="1">
      <c r="C459" s="20"/>
      <c r="D459" s="20"/>
      <c r="E459" s="20"/>
      <c r="F459" s="21"/>
      <c r="G459" s="21"/>
    </row>
    <row r="460" ht="15.75" customHeight="1">
      <c r="C460" s="20"/>
      <c r="D460" s="20"/>
      <c r="E460" s="20"/>
      <c r="F460" s="21"/>
      <c r="G460" s="21"/>
    </row>
    <row r="461" ht="15.75" customHeight="1">
      <c r="C461" s="20"/>
      <c r="D461" s="20"/>
      <c r="E461" s="20"/>
      <c r="F461" s="21"/>
      <c r="G461" s="21"/>
    </row>
    <row r="462" ht="15.75" customHeight="1">
      <c r="C462" s="20"/>
      <c r="D462" s="20"/>
      <c r="E462" s="20"/>
      <c r="F462" s="21"/>
      <c r="G462" s="21"/>
    </row>
    <row r="463" ht="15.75" customHeight="1">
      <c r="C463" s="20"/>
      <c r="D463" s="20"/>
      <c r="E463" s="20"/>
      <c r="F463" s="21"/>
      <c r="G463" s="21"/>
    </row>
    <row r="464" ht="15.75" customHeight="1">
      <c r="C464" s="20"/>
      <c r="D464" s="20"/>
      <c r="E464" s="20"/>
      <c r="F464" s="21"/>
      <c r="G464" s="21"/>
    </row>
    <row r="465" ht="15.75" customHeight="1">
      <c r="C465" s="20"/>
      <c r="D465" s="20"/>
      <c r="E465" s="20"/>
      <c r="F465" s="21"/>
      <c r="G465" s="21"/>
    </row>
    <row r="466" ht="15.75" customHeight="1">
      <c r="C466" s="20"/>
      <c r="D466" s="20"/>
      <c r="E466" s="20"/>
      <c r="F466" s="21"/>
      <c r="G466" s="21"/>
    </row>
    <row r="467" ht="15.75" customHeight="1">
      <c r="C467" s="20"/>
      <c r="D467" s="20"/>
      <c r="E467" s="20"/>
      <c r="F467" s="21"/>
      <c r="G467" s="21"/>
    </row>
    <row r="468" ht="15.75" customHeight="1">
      <c r="C468" s="20"/>
      <c r="D468" s="20"/>
      <c r="E468" s="20"/>
      <c r="F468" s="21"/>
      <c r="G468" s="21"/>
    </row>
    <row r="469" ht="15.75" customHeight="1">
      <c r="C469" s="20"/>
      <c r="D469" s="20"/>
      <c r="E469" s="20"/>
      <c r="F469" s="21"/>
      <c r="G469" s="21"/>
    </row>
    <row r="470" ht="15.75" customHeight="1">
      <c r="C470" s="20"/>
      <c r="D470" s="20"/>
      <c r="E470" s="20"/>
      <c r="F470" s="21"/>
      <c r="G470" s="21"/>
    </row>
    <row r="471" ht="15.75" customHeight="1">
      <c r="C471" s="20"/>
      <c r="D471" s="20"/>
      <c r="E471" s="20"/>
      <c r="F471" s="21"/>
      <c r="G471" s="21"/>
    </row>
    <row r="472" ht="15.75" customHeight="1">
      <c r="C472" s="20"/>
      <c r="D472" s="20"/>
      <c r="E472" s="20"/>
      <c r="F472" s="21"/>
      <c r="G472" s="21"/>
    </row>
    <row r="473" ht="15.75" customHeight="1">
      <c r="C473" s="20"/>
      <c r="D473" s="20"/>
      <c r="E473" s="20"/>
      <c r="F473" s="21"/>
      <c r="G473" s="21"/>
    </row>
    <row r="474" ht="15.75" customHeight="1">
      <c r="C474" s="20"/>
      <c r="D474" s="20"/>
      <c r="E474" s="20"/>
      <c r="F474" s="21"/>
      <c r="G474" s="21"/>
    </row>
    <row r="475" ht="15.75" customHeight="1">
      <c r="C475" s="20"/>
      <c r="D475" s="20"/>
      <c r="E475" s="20"/>
      <c r="F475" s="21"/>
      <c r="G475" s="21"/>
    </row>
    <row r="476" ht="15.75" customHeight="1">
      <c r="C476" s="20"/>
      <c r="D476" s="20"/>
      <c r="E476" s="20"/>
      <c r="F476" s="21"/>
      <c r="G476" s="21"/>
    </row>
    <row r="477" ht="15.75" customHeight="1">
      <c r="C477" s="20"/>
      <c r="D477" s="20"/>
      <c r="E477" s="20"/>
      <c r="F477" s="21"/>
      <c r="G477" s="21"/>
    </row>
    <row r="478" ht="15.75" customHeight="1">
      <c r="C478" s="20"/>
      <c r="D478" s="20"/>
      <c r="E478" s="20"/>
      <c r="F478" s="21"/>
      <c r="G478" s="21"/>
    </row>
    <row r="479" ht="15.75" customHeight="1">
      <c r="C479" s="20"/>
      <c r="D479" s="20"/>
      <c r="E479" s="20"/>
      <c r="F479" s="21"/>
      <c r="G479" s="21"/>
    </row>
    <row r="480" ht="15.75" customHeight="1">
      <c r="C480" s="20"/>
      <c r="D480" s="20"/>
      <c r="E480" s="20"/>
      <c r="F480" s="21"/>
      <c r="G480" s="21"/>
    </row>
    <row r="481" ht="15.75" customHeight="1">
      <c r="C481" s="20"/>
      <c r="D481" s="20"/>
      <c r="E481" s="20"/>
      <c r="F481" s="21"/>
      <c r="G481" s="21"/>
    </row>
    <row r="482" ht="15.75" customHeight="1">
      <c r="C482" s="20"/>
      <c r="D482" s="20"/>
      <c r="E482" s="20"/>
      <c r="F482" s="21"/>
      <c r="G482" s="21"/>
    </row>
    <row r="483" ht="15.75" customHeight="1">
      <c r="C483" s="20"/>
      <c r="D483" s="20"/>
      <c r="E483" s="20"/>
      <c r="F483" s="21"/>
      <c r="G483" s="21"/>
    </row>
    <row r="484" ht="15.75" customHeight="1">
      <c r="C484" s="20"/>
      <c r="D484" s="20"/>
      <c r="E484" s="20"/>
      <c r="F484" s="21"/>
      <c r="G484" s="21"/>
    </row>
    <row r="485" ht="15.75" customHeight="1">
      <c r="C485" s="20"/>
      <c r="D485" s="20"/>
      <c r="E485" s="20"/>
      <c r="F485" s="21"/>
      <c r="G485" s="21"/>
    </row>
    <row r="486" ht="15.75" customHeight="1">
      <c r="C486" s="20"/>
      <c r="D486" s="20"/>
      <c r="E486" s="20"/>
      <c r="F486" s="21"/>
      <c r="G486" s="21"/>
    </row>
    <row r="487" ht="15.75" customHeight="1">
      <c r="C487" s="20"/>
      <c r="D487" s="20"/>
      <c r="E487" s="20"/>
      <c r="F487" s="21"/>
      <c r="G487" s="21"/>
    </row>
    <row r="488" ht="15.75" customHeight="1">
      <c r="C488" s="20"/>
      <c r="D488" s="20"/>
      <c r="E488" s="20"/>
      <c r="F488" s="21"/>
      <c r="G488" s="21"/>
    </row>
    <row r="489" ht="15.75" customHeight="1">
      <c r="C489" s="20"/>
      <c r="D489" s="20"/>
      <c r="E489" s="20"/>
      <c r="F489" s="21"/>
      <c r="G489" s="21"/>
    </row>
    <row r="490" ht="15.75" customHeight="1">
      <c r="C490" s="20"/>
      <c r="D490" s="20"/>
      <c r="E490" s="20"/>
      <c r="F490" s="21"/>
      <c r="G490" s="21"/>
    </row>
    <row r="491" ht="15.75" customHeight="1">
      <c r="C491" s="20"/>
      <c r="D491" s="20"/>
      <c r="E491" s="20"/>
      <c r="F491" s="21"/>
      <c r="G491" s="21"/>
    </row>
    <row r="492" ht="15.75" customHeight="1">
      <c r="C492" s="20"/>
      <c r="D492" s="20"/>
      <c r="E492" s="20"/>
      <c r="F492" s="21"/>
      <c r="G492" s="21"/>
    </row>
    <row r="493" ht="15.75" customHeight="1">
      <c r="C493" s="20"/>
      <c r="D493" s="20"/>
      <c r="E493" s="20"/>
      <c r="F493" s="21"/>
      <c r="G493" s="21"/>
    </row>
    <row r="494" ht="15.75" customHeight="1">
      <c r="C494" s="20"/>
      <c r="D494" s="20"/>
      <c r="E494" s="20"/>
      <c r="F494" s="21"/>
      <c r="G494" s="21"/>
    </row>
    <row r="495" ht="15.75" customHeight="1">
      <c r="C495" s="20"/>
      <c r="D495" s="20"/>
      <c r="E495" s="20"/>
      <c r="F495" s="21"/>
      <c r="G495" s="21"/>
    </row>
    <row r="496" ht="15.75" customHeight="1">
      <c r="C496" s="20"/>
      <c r="D496" s="20"/>
      <c r="E496" s="20"/>
      <c r="F496" s="21"/>
      <c r="G496" s="21"/>
    </row>
    <row r="497" ht="15.75" customHeight="1">
      <c r="C497" s="20"/>
      <c r="D497" s="20"/>
      <c r="E497" s="20"/>
      <c r="F497" s="21"/>
      <c r="G497" s="21"/>
    </row>
    <row r="498" ht="15.75" customHeight="1">
      <c r="C498" s="20"/>
      <c r="D498" s="20"/>
      <c r="E498" s="20"/>
      <c r="F498" s="21"/>
      <c r="G498" s="21"/>
    </row>
    <row r="499" ht="15.75" customHeight="1">
      <c r="C499" s="20"/>
      <c r="D499" s="20"/>
      <c r="E499" s="20"/>
      <c r="F499" s="21"/>
      <c r="G499" s="21"/>
    </row>
    <row r="500" ht="15.75" customHeight="1">
      <c r="C500" s="20"/>
      <c r="D500" s="20"/>
      <c r="E500" s="20"/>
      <c r="F500" s="21"/>
      <c r="G500" s="21"/>
    </row>
    <row r="501" ht="15.75" customHeight="1">
      <c r="C501" s="20"/>
      <c r="D501" s="20"/>
      <c r="E501" s="20"/>
      <c r="F501" s="21"/>
      <c r="G501" s="21"/>
    </row>
    <row r="502" ht="15.75" customHeight="1">
      <c r="C502" s="20"/>
      <c r="D502" s="20"/>
      <c r="E502" s="20"/>
      <c r="F502" s="21"/>
      <c r="G502" s="21"/>
    </row>
    <row r="503" ht="15.75" customHeight="1">
      <c r="C503" s="20"/>
      <c r="D503" s="20"/>
      <c r="E503" s="20"/>
      <c r="F503" s="21"/>
      <c r="G503" s="21"/>
    </row>
    <row r="504" ht="15.75" customHeight="1">
      <c r="C504" s="20"/>
      <c r="D504" s="20"/>
      <c r="E504" s="20"/>
      <c r="F504" s="21"/>
      <c r="G504" s="21"/>
    </row>
    <row r="505" ht="15.75" customHeight="1">
      <c r="C505" s="20"/>
      <c r="D505" s="20"/>
      <c r="E505" s="20"/>
      <c r="F505" s="21"/>
      <c r="G505" s="21"/>
    </row>
    <row r="506" ht="15.75" customHeight="1">
      <c r="C506" s="20"/>
      <c r="D506" s="20"/>
      <c r="E506" s="20"/>
      <c r="F506" s="21"/>
      <c r="G506" s="21"/>
    </row>
    <row r="507" ht="15.75" customHeight="1">
      <c r="C507" s="20"/>
      <c r="D507" s="20"/>
      <c r="E507" s="20"/>
      <c r="F507" s="21"/>
      <c r="G507" s="21"/>
    </row>
    <row r="508" ht="15.75" customHeight="1">
      <c r="C508" s="20"/>
      <c r="D508" s="20"/>
      <c r="E508" s="20"/>
      <c r="F508" s="21"/>
      <c r="G508" s="21"/>
    </row>
    <row r="509" ht="15.75" customHeight="1">
      <c r="C509" s="20"/>
      <c r="D509" s="20"/>
      <c r="E509" s="20"/>
      <c r="F509" s="21"/>
      <c r="G509" s="21"/>
    </row>
    <row r="510" ht="15.75" customHeight="1">
      <c r="C510" s="20"/>
      <c r="D510" s="20"/>
      <c r="E510" s="20"/>
      <c r="F510" s="21"/>
      <c r="G510" s="21"/>
    </row>
    <row r="511" ht="15.75" customHeight="1">
      <c r="C511" s="20"/>
      <c r="D511" s="20"/>
      <c r="E511" s="20"/>
      <c r="F511" s="21"/>
      <c r="G511" s="21"/>
    </row>
    <row r="512" ht="15.75" customHeight="1">
      <c r="C512" s="20"/>
      <c r="D512" s="20"/>
      <c r="E512" s="20"/>
      <c r="F512" s="21"/>
      <c r="G512" s="21"/>
    </row>
    <row r="513" ht="15.75" customHeight="1">
      <c r="C513" s="20"/>
      <c r="D513" s="20"/>
      <c r="E513" s="20"/>
      <c r="F513" s="21"/>
      <c r="G513" s="21"/>
    </row>
    <row r="514" ht="15.75" customHeight="1">
      <c r="C514" s="20"/>
      <c r="D514" s="20"/>
      <c r="E514" s="20"/>
      <c r="F514" s="21"/>
      <c r="G514" s="21"/>
    </row>
    <row r="515" ht="15.75" customHeight="1">
      <c r="C515" s="20"/>
      <c r="D515" s="20"/>
      <c r="E515" s="20"/>
      <c r="F515" s="21"/>
      <c r="G515" s="21"/>
    </row>
    <row r="516" ht="15.75" customHeight="1">
      <c r="C516" s="20"/>
      <c r="D516" s="20"/>
      <c r="E516" s="20"/>
      <c r="F516" s="21"/>
      <c r="G516" s="21"/>
    </row>
    <row r="517" ht="15.75" customHeight="1">
      <c r="C517" s="20"/>
      <c r="D517" s="20"/>
      <c r="E517" s="20"/>
      <c r="F517" s="21"/>
      <c r="G517" s="21"/>
    </row>
    <row r="518" ht="15.75" customHeight="1">
      <c r="C518" s="20"/>
      <c r="D518" s="20"/>
      <c r="E518" s="20"/>
      <c r="F518" s="21"/>
      <c r="G518" s="21"/>
    </row>
    <row r="519" ht="15.75" customHeight="1">
      <c r="C519" s="20"/>
      <c r="D519" s="20"/>
      <c r="E519" s="20"/>
      <c r="F519" s="21"/>
      <c r="G519" s="21"/>
    </row>
    <row r="520" ht="15.75" customHeight="1">
      <c r="C520" s="20"/>
      <c r="D520" s="20"/>
      <c r="E520" s="20"/>
      <c r="F520" s="21"/>
      <c r="G520" s="21"/>
    </row>
    <row r="521" ht="15.75" customHeight="1">
      <c r="C521" s="20"/>
      <c r="D521" s="20"/>
      <c r="E521" s="20"/>
      <c r="F521" s="21"/>
      <c r="G521" s="21"/>
    </row>
    <row r="522" ht="15.75" customHeight="1">
      <c r="C522" s="20"/>
      <c r="D522" s="20"/>
      <c r="E522" s="20"/>
      <c r="F522" s="21"/>
      <c r="G522" s="21"/>
    </row>
    <row r="523" ht="15.75" customHeight="1">
      <c r="C523" s="20"/>
      <c r="D523" s="20"/>
      <c r="E523" s="20"/>
      <c r="F523" s="21"/>
      <c r="G523" s="21"/>
    </row>
    <row r="524" ht="15.75" customHeight="1">
      <c r="C524" s="20"/>
      <c r="D524" s="20"/>
      <c r="E524" s="20"/>
      <c r="F524" s="21"/>
      <c r="G524" s="21"/>
    </row>
    <row r="525" ht="15.75" customHeight="1">
      <c r="C525" s="20"/>
      <c r="D525" s="20"/>
      <c r="E525" s="20"/>
      <c r="F525" s="21"/>
      <c r="G525" s="21"/>
    </row>
    <row r="526" ht="15.75" customHeight="1">
      <c r="C526" s="20"/>
      <c r="D526" s="20"/>
      <c r="E526" s="20"/>
      <c r="F526" s="21"/>
      <c r="G526" s="21"/>
    </row>
    <row r="527" ht="15.75" customHeight="1">
      <c r="C527" s="20"/>
      <c r="D527" s="20"/>
      <c r="E527" s="20"/>
      <c r="F527" s="21"/>
      <c r="G527" s="21"/>
    </row>
    <row r="528" ht="15.75" customHeight="1">
      <c r="C528" s="20"/>
      <c r="D528" s="20"/>
      <c r="E528" s="20"/>
      <c r="F528" s="21"/>
      <c r="G528" s="21"/>
    </row>
    <row r="529" ht="15.75" customHeight="1">
      <c r="C529" s="20"/>
      <c r="D529" s="20"/>
      <c r="E529" s="20"/>
      <c r="F529" s="21"/>
      <c r="G529" s="21"/>
    </row>
    <row r="530" ht="15.75" customHeight="1">
      <c r="C530" s="20"/>
      <c r="D530" s="20"/>
      <c r="E530" s="20"/>
      <c r="F530" s="21"/>
      <c r="G530" s="21"/>
    </row>
    <row r="531" ht="15.75" customHeight="1">
      <c r="C531" s="20"/>
      <c r="D531" s="20"/>
      <c r="E531" s="20"/>
      <c r="F531" s="21"/>
      <c r="G531" s="21"/>
    </row>
    <row r="532" ht="15.75" customHeight="1">
      <c r="C532" s="20"/>
      <c r="D532" s="20"/>
      <c r="E532" s="20"/>
      <c r="F532" s="21"/>
      <c r="G532" s="21"/>
    </row>
    <row r="533" ht="15.75" customHeight="1">
      <c r="C533" s="20"/>
      <c r="D533" s="20"/>
      <c r="E533" s="20"/>
      <c r="F533" s="21"/>
      <c r="G533" s="21"/>
    </row>
    <row r="534" ht="15.75" customHeight="1">
      <c r="C534" s="20"/>
      <c r="D534" s="20"/>
      <c r="E534" s="20"/>
      <c r="F534" s="21"/>
      <c r="G534" s="21"/>
    </row>
    <row r="535" ht="15.75" customHeight="1">
      <c r="C535" s="20"/>
      <c r="D535" s="20"/>
      <c r="E535" s="20"/>
      <c r="F535" s="21"/>
      <c r="G535" s="21"/>
    </row>
    <row r="536" ht="15.75" customHeight="1">
      <c r="C536" s="20"/>
      <c r="D536" s="20"/>
      <c r="E536" s="20"/>
      <c r="F536" s="21"/>
      <c r="G536" s="21"/>
    </row>
    <row r="537" ht="15.75" customHeight="1">
      <c r="C537" s="20"/>
      <c r="D537" s="20"/>
      <c r="E537" s="20"/>
      <c r="F537" s="21"/>
      <c r="G537" s="21"/>
    </row>
    <row r="538" ht="15.75" customHeight="1">
      <c r="C538" s="20"/>
      <c r="D538" s="20"/>
      <c r="E538" s="20"/>
      <c r="F538" s="21"/>
      <c r="G538" s="21"/>
    </row>
    <row r="539" ht="15.75" customHeight="1">
      <c r="C539" s="20"/>
      <c r="D539" s="20"/>
      <c r="E539" s="20"/>
      <c r="F539" s="21"/>
      <c r="G539" s="21"/>
    </row>
    <row r="540" ht="15.75" customHeight="1">
      <c r="C540" s="20"/>
      <c r="D540" s="20"/>
      <c r="E540" s="20"/>
      <c r="F540" s="21"/>
      <c r="G540" s="21"/>
    </row>
    <row r="541" ht="15.75" customHeight="1">
      <c r="C541" s="20"/>
      <c r="D541" s="20"/>
      <c r="E541" s="20"/>
      <c r="F541" s="21"/>
      <c r="G541" s="21"/>
    </row>
    <row r="542" ht="15.75" customHeight="1">
      <c r="C542" s="20"/>
      <c r="D542" s="20"/>
      <c r="E542" s="20"/>
      <c r="F542" s="21"/>
      <c r="G542" s="21"/>
    </row>
    <row r="543" ht="15.75" customHeight="1">
      <c r="C543" s="20"/>
      <c r="D543" s="20"/>
      <c r="E543" s="20"/>
      <c r="F543" s="21"/>
      <c r="G543" s="21"/>
    </row>
    <row r="544" ht="15.75" customHeight="1">
      <c r="C544" s="20"/>
      <c r="D544" s="20"/>
      <c r="E544" s="20"/>
      <c r="F544" s="21"/>
      <c r="G544" s="21"/>
    </row>
    <row r="545" ht="15.75" customHeight="1">
      <c r="C545" s="20"/>
      <c r="D545" s="20"/>
      <c r="E545" s="20"/>
      <c r="F545" s="21"/>
      <c r="G545" s="21"/>
    </row>
    <row r="546" ht="15.75" customHeight="1">
      <c r="C546" s="20"/>
      <c r="D546" s="20"/>
      <c r="E546" s="20"/>
      <c r="F546" s="21"/>
      <c r="G546" s="21"/>
    </row>
    <row r="547" ht="15.75" customHeight="1">
      <c r="C547" s="20"/>
      <c r="D547" s="20"/>
      <c r="E547" s="20"/>
      <c r="F547" s="21"/>
      <c r="G547" s="21"/>
    </row>
    <row r="548" ht="15.75" customHeight="1">
      <c r="C548" s="20"/>
      <c r="D548" s="20"/>
      <c r="E548" s="20"/>
      <c r="F548" s="21"/>
      <c r="G548" s="21"/>
    </row>
    <row r="549" ht="15.75" customHeight="1">
      <c r="C549" s="20"/>
      <c r="D549" s="20"/>
      <c r="E549" s="20"/>
      <c r="F549" s="21"/>
      <c r="G549" s="21"/>
    </row>
    <row r="550" ht="15.75" customHeight="1">
      <c r="C550" s="20"/>
      <c r="D550" s="20"/>
      <c r="E550" s="20"/>
      <c r="F550" s="21"/>
      <c r="G550" s="21"/>
    </row>
    <row r="551" ht="15.75" customHeight="1">
      <c r="C551" s="20"/>
      <c r="D551" s="20"/>
      <c r="E551" s="20"/>
      <c r="F551" s="21"/>
      <c r="G551" s="21"/>
    </row>
    <row r="552" ht="15.75" customHeight="1">
      <c r="C552" s="20"/>
      <c r="D552" s="20"/>
      <c r="E552" s="20"/>
      <c r="F552" s="21"/>
      <c r="G552" s="21"/>
    </row>
    <row r="553" ht="15.75" customHeight="1">
      <c r="C553" s="20"/>
      <c r="D553" s="20"/>
      <c r="E553" s="20"/>
      <c r="F553" s="21"/>
      <c r="G553" s="21"/>
    </row>
    <row r="554" ht="15.75" customHeight="1">
      <c r="C554" s="20"/>
      <c r="D554" s="20"/>
      <c r="E554" s="20"/>
      <c r="F554" s="21"/>
      <c r="G554" s="21"/>
    </row>
    <row r="555" ht="15.75" customHeight="1">
      <c r="C555" s="20"/>
      <c r="D555" s="20"/>
      <c r="E555" s="20"/>
      <c r="F555" s="21"/>
      <c r="G555" s="21"/>
    </row>
    <row r="556" ht="15.75" customHeight="1">
      <c r="C556" s="20"/>
      <c r="D556" s="20"/>
      <c r="E556" s="20"/>
      <c r="F556" s="21"/>
      <c r="G556" s="21"/>
    </row>
    <row r="557" ht="15.75" customHeight="1">
      <c r="C557" s="20"/>
      <c r="D557" s="20"/>
      <c r="E557" s="20"/>
      <c r="F557" s="21"/>
      <c r="G557" s="21"/>
    </row>
    <row r="558" ht="15.75" customHeight="1">
      <c r="C558" s="20"/>
      <c r="D558" s="20"/>
      <c r="E558" s="20"/>
      <c r="F558" s="21"/>
      <c r="G558" s="21"/>
    </row>
    <row r="559" ht="15.75" customHeight="1">
      <c r="C559" s="20"/>
      <c r="D559" s="20"/>
      <c r="E559" s="20"/>
      <c r="F559" s="21"/>
      <c r="G559" s="21"/>
    </row>
    <row r="560" ht="15.75" customHeight="1">
      <c r="C560" s="20"/>
      <c r="D560" s="20"/>
      <c r="E560" s="20"/>
      <c r="F560" s="21"/>
      <c r="G560" s="21"/>
    </row>
    <row r="561" ht="15.75" customHeight="1">
      <c r="C561" s="20"/>
      <c r="D561" s="20"/>
      <c r="E561" s="20"/>
      <c r="F561" s="21"/>
      <c r="G561" s="21"/>
    </row>
    <row r="562" ht="15.75" customHeight="1">
      <c r="C562" s="20"/>
      <c r="D562" s="20"/>
      <c r="E562" s="20"/>
      <c r="F562" s="21"/>
      <c r="G562" s="21"/>
    </row>
    <row r="563" ht="15.75" customHeight="1">
      <c r="C563" s="20"/>
      <c r="D563" s="20"/>
      <c r="E563" s="20"/>
      <c r="F563" s="21"/>
      <c r="G563" s="21"/>
    </row>
    <row r="564" ht="15.75" customHeight="1">
      <c r="C564" s="20"/>
      <c r="D564" s="20"/>
      <c r="E564" s="20"/>
      <c r="F564" s="21"/>
      <c r="G564" s="21"/>
    </row>
    <row r="565" ht="15.75" customHeight="1">
      <c r="C565" s="20"/>
      <c r="D565" s="20"/>
      <c r="E565" s="20"/>
      <c r="F565" s="21"/>
      <c r="G565" s="21"/>
    </row>
    <row r="566" ht="15.75" customHeight="1">
      <c r="C566" s="20"/>
      <c r="D566" s="20"/>
      <c r="E566" s="20"/>
      <c r="F566" s="21"/>
      <c r="G566" s="21"/>
    </row>
    <row r="567" ht="15.75" customHeight="1">
      <c r="C567" s="20"/>
      <c r="D567" s="20"/>
      <c r="E567" s="20"/>
      <c r="F567" s="21"/>
      <c r="G567" s="21"/>
    </row>
    <row r="568" ht="15.75" customHeight="1">
      <c r="C568" s="20"/>
      <c r="D568" s="20"/>
      <c r="E568" s="20"/>
      <c r="F568" s="21"/>
      <c r="G568" s="21"/>
    </row>
    <row r="569" ht="15.75" customHeight="1">
      <c r="C569" s="20"/>
      <c r="D569" s="20"/>
      <c r="E569" s="20"/>
      <c r="F569" s="21"/>
      <c r="G569" s="21"/>
    </row>
    <row r="570" ht="15.75" customHeight="1">
      <c r="C570" s="20"/>
      <c r="D570" s="20"/>
      <c r="E570" s="20"/>
      <c r="F570" s="21"/>
      <c r="G570" s="21"/>
    </row>
    <row r="571" ht="15.75" customHeight="1">
      <c r="C571" s="20"/>
      <c r="D571" s="20"/>
      <c r="E571" s="20"/>
      <c r="F571" s="21"/>
      <c r="G571" s="21"/>
    </row>
    <row r="572" ht="15.75" customHeight="1">
      <c r="C572" s="20"/>
      <c r="D572" s="20"/>
      <c r="E572" s="20"/>
      <c r="F572" s="21"/>
      <c r="G572" s="21"/>
    </row>
    <row r="573" ht="15.75" customHeight="1">
      <c r="C573" s="20"/>
      <c r="D573" s="20"/>
      <c r="E573" s="20"/>
      <c r="F573" s="21"/>
      <c r="G573" s="21"/>
    </row>
    <row r="574" ht="15.75" customHeight="1">
      <c r="C574" s="20"/>
      <c r="D574" s="20"/>
      <c r="E574" s="20"/>
      <c r="F574" s="21"/>
      <c r="G574" s="21"/>
    </row>
    <row r="575" ht="15.75" customHeight="1">
      <c r="C575" s="20"/>
      <c r="D575" s="20"/>
      <c r="E575" s="20"/>
      <c r="F575" s="21"/>
      <c r="G575" s="21"/>
    </row>
    <row r="576" ht="15.75" customHeight="1">
      <c r="C576" s="20"/>
      <c r="D576" s="20"/>
      <c r="E576" s="20"/>
      <c r="F576" s="21"/>
      <c r="G576" s="21"/>
    </row>
    <row r="577" ht="15.75" customHeight="1">
      <c r="C577" s="20"/>
      <c r="D577" s="20"/>
      <c r="E577" s="20"/>
      <c r="F577" s="21"/>
      <c r="G577" s="21"/>
    </row>
    <row r="578" ht="15.75" customHeight="1">
      <c r="C578" s="20"/>
      <c r="D578" s="20"/>
      <c r="E578" s="20"/>
      <c r="F578" s="21"/>
      <c r="G578" s="21"/>
    </row>
    <row r="579" ht="15.75" customHeight="1">
      <c r="C579" s="20"/>
      <c r="D579" s="20"/>
      <c r="E579" s="20"/>
      <c r="F579" s="21"/>
      <c r="G579" s="21"/>
    </row>
    <row r="580" ht="15.75" customHeight="1">
      <c r="C580" s="20"/>
      <c r="D580" s="20"/>
      <c r="E580" s="20"/>
      <c r="F580" s="21"/>
      <c r="G580" s="21"/>
    </row>
    <row r="581" ht="15.75" customHeight="1">
      <c r="C581" s="20"/>
      <c r="D581" s="20"/>
      <c r="E581" s="20"/>
      <c r="F581" s="21"/>
      <c r="G581" s="21"/>
    </row>
    <row r="582" ht="15.75" customHeight="1">
      <c r="C582" s="20"/>
      <c r="D582" s="20"/>
      <c r="E582" s="20"/>
      <c r="F582" s="21"/>
      <c r="G582" s="21"/>
    </row>
    <row r="583" ht="15.75" customHeight="1">
      <c r="C583" s="20"/>
      <c r="D583" s="20"/>
      <c r="E583" s="20"/>
      <c r="F583" s="21"/>
      <c r="G583" s="21"/>
    </row>
    <row r="584" ht="15.75" customHeight="1">
      <c r="C584" s="20"/>
      <c r="D584" s="20"/>
      <c r="E584" s="20"/>
      <c r="F584" s="21"/>
      <c r="G584" s="21"/>
    </row>
    <row r="585" ht="15.75" customHeight="1">
      <c r="C585" s="20"/>
      <c r="D585" s="20"/>
      <c r="E585" s="20"/>
      <c r="F585" s="21"/>
      <c r="G585" s="21"/>
    </row>
    <row r="586" ht="15.75" customHeight="1">
      <c r="C586" s="20"/>
      <c r="D586" s="20"/>
      <c r="E586" s="20"/>
      <c r="F586" s="21"/>
      <c r="G586" s="21"/>
    </row>
    <row r="587" ht="15.75" customHeight="1">
      <c r="C587" s="20"/>
      <c r="D587" s="20"/>
      <c r="E587" s="20"/>
      <c r="F587" s="21"/>
      <c r="G587" s="21"/>
    </row>
    <row r="588" ht="15.75" customHeight="1">
      <c r="C588" s="20"/>
      <c r="D588" s="20"/>
      <c r="E588" s="20"/>
      <c r="F588" s="21"/>
      <c r="G588" s="21"/>
    </row>
    <row r="589" ht="15.75" customHeight="1">
      <c r="C589" s="20"/>
      <c r="D589" s="20"/>
      <c r="E589" s="20"/>
      <c r="F589" s="21"/>
      <c r="G589" s="21"/>
    </row>
    <row r="590" ht="15.75" customHeight="1">
      <c r="C590" s="20"/>
      <c r="D590" s="20"/>
      <c r="E590" s="20"/>
      <c r="F590" s="21"/>
      <c r="G590" s="21"/>
    </row>
    <row r="591" ht="15.75" customHeight="1">
      <c r="C591" s="20"/>
      <c r="D591" s="20"/>
      <c r="E591" s="20"/>
      <c r="F591" s="21"/>
      <c r="G591" s="21"/>
    </row>
    <row r="592" ht="15.75" customHeight="1">
      <c r="C592" s="20"/>
      <c r="D592" s="20"/>
      <c r="E592" s="20"/>
      <c r="F592" s="21"/>
      <c r="G592" s="21"/>
    </row>
    <row r="593" ht="15.75" customHeight="1">
      <c r="C593" s="20"/>
      <c r="D593" s="20"/>
      <c r="E593" s="20"/>
      <c r="F593" s="21"/>
      <c r="G593" s="21"/>
    </row>
    <row r="594" ht="15.75" customHeight="1">
      <c r="C594" s="20"/>
      <c r="D594" s="20"/>
      <c r="E594" s="20"/>
      <c r="F594" s="21"/>
      <c r="G594" s="21"/>
    </row>
    <row r="595" ht="15.75" customHeight="1">
      <c r="C595" s="20"/>
      <c r="D595" s="20"/>
      <c r="E595" s="20"/>
      <c r="F595" s="21"/>
      <c r="G595" s="21"/>
    </row>
    <row r="596" ht="15.75" customHeight="1">
      <c r="C596" s="20"/>
      <c r="D596" s="20"/>
      <c r="E596" s="20"/>
      <c r="F596" s="21"/>
      <c r="G596" s="21"/>
    </row>
    <row r="597" ht="15.75" customHeight="1">
      <c r="C597" s="20"/>
      <c r="D597" s="20"/>
      <c r="E597" s="20"/>
      <c r="F597" s="21"/>
      <c r="G597" s="21"/>
    </row>
    <row r="598" ht="15.75" customHeight="1">
      <c r="C598" s="20"/>
      <c r="D598" s="20"/>
      <c r="E598" s="20"/>
      <c r="F598" s="21"/>
      <c r="G598" s="21"/>
    </row>
    <row r="599" ht="15.75" customHeight="1">
      <c r="C599" s="20"/>
      <c r="D599" s="20"/>
      <c r="E599" s="20"/>
      <c r="F599" s="21"/>
      <c r="G599" s="21"/>
    </row>
    <row r="600" ht="15.75" customHeight="1">
      <c r="C600" s="20"/>
      <c r="D600" s="20"/>
      <c r="E600" s="20"/>
      <c r="F600" s="21"/>
      <c r="G600" s="21"/>
    </row>
    <row r="601" ht="15.75" customHeight="1">
      <c r="C601" s="20"/>
      <c r="D601" s="20"/>
      <c r="E601" s="20"/>
      <c r="F601" s="21"/>
      <c r="G601" s="21"/>
    </row>
    <row r="602" ht="15.75" customHeight="1">
      <c r="C602" s="20"/>
      <c r="D602" s="20"/>
      <c r="E602" s="20"/>
      <c r="F602" s="21"/>
      <c r="G602" s="21"/>
    </row>
    <row r="603" ht="15.75" customHeight="1">
      <c r="C603" s="20"/>
      <c r="D603" s="20"/>
      <c r="E603" s="20"/>
      <c r="F603" s="21"/>
      <c r="G603" s="21"/>
    </row>
    <row r="604" ht="15.75" customHeight="1">
      <c r="C604" s="20"/>
      <c r="D604" s="20"/>
      <c r="E604" s="20"/>
      <c r="F604" s="21"/>
      <c r="G604" s="21"/>
    </row>
    <row r="605" ht="15.75" customHeight="1">
      <c r="C605" s="20"/>
      <c r="D605" s="20"/>
      <c r="E605" s="20"/>
      <c r="F605" s="21"/>
      <c r="G605" s="21"/>
    </row>
    <row r="606" ht="15.75" customHeight="1">
      <c r="C606" s="20"/>
      <c r="D606" s="20"/>
      <c r="E606" s="20"/>
      <c r="F606" s="21"/>
      <c r="G606" s="21"/>
    </row>
    <row r="607" ht="15.75" customHeight="1">
      <c r="C607" s="20"/>
      <c r="D607" s="20"/>
      <c r="E607" s="20"/>
      <c r="F607" s="21"/>
      <c r="G607" s="21"/>
    </row>
    <row r="608" ht="15.75" customHeight="1">
      <c r="C608" s="20"/>
      <c r="D608" s="20"/>
      <c r="E608" s="20"/>
      <c r="F608" s="21"/>
      <c r="G608" s="21"/>
    </row>
    <row r="609" ht="15.75" customHeight="1">
      <c r="C609" s="20"/>
      <c r="D609" s="20"/>
      <c r="E609" s="20"/>
      <c r="F609" s="21"/>
      <c r="G609" s="21"/>
    </row>
    <row r="610" ht="15.75" customHeight="1">
      <c r="C610" s="20"/>
      <c r="D610" s="20"/>
      <c r="E610" s="20"/>
      <c r="F610" s="21"/>
      <c r="G610" s="21"/>
    </row>
    <row r="611" ht="15.75" customHeight="1">
      <c r="C611" s="20"/>
      <c r="D611" s="20"/>
      <c r="E611" s="20"/>
      <c r="F611" s="21"/>
      <c r="G611" s="21"/>
    </row>
    <row r="612" ht="15.75" customHeight="1">
      <c r="C612" s="20"/>
      <c r="D612" s="20"/>
      <c r="E612" s="20"/>
      <c r="F612" s="21"/>
      <c r="G612" s="21"/>
    </row>
    <row r="613" ht="15.75" customHeight="1">
      <c r="C613" s="20"/>
      <c r="D613" s="20"/>
      <c r="E613" s="20"/>
      <c r="F613" s="21"/>
      <c r="G613" s="21"/>
    </row>
    <row r="614" ht="15.75" customHeight="1">
      <c r="C614" s="20"/>
      <c r="D614" s="20"/>
      <c r="E614" s="20"/>
      <c r="F614" s="21"/>
      <c r="G614" s="21"/>
    </row>
    <row r="615" ht="15.75" customHeight="1">
      <c r="C615" s="20"/>
      <c r="D615" s="20"/>
      <c r="E615" s="20"/>
      <c r="F615" s="21"/>
      <c r="G615" s="21"/>
    </row>
    <row r="616" ht="15.75" customHeight="1">
      <c r="C616" s="20"/>
      <c r="D616" s="20"/>
      <c r="E616" s="20"/>
      <c r="F616" s="21"/>
      <c r="G616" s="21"/>
    </row>
    <row r="617" ht="15.75" customHeight="1">
      <c r="C617" s="20"/>
      <c r="D617" s="20"/>
      <c r="E617" s="20"/>
      <c r="F617" s="21"/>
      <c r="G617" s="21"/>
    </row>
    <row r="618" ht="15.75" customHeight="1">
      <c r="C618" s="20"/>
      <c r="D618" s="20"/>
      <c r="E618" s="20"/>
      <c r="F618" s="21"/>
      <c r="G618" s="21"/>
    </row>
    <row r="619" ht="15.75" customHeight="1">
      <c r="C619" s="20"/>
      <c r="D619" s="20"/>
      <c r="E619" s="20"/>
      <c r="F619" s="21"/>
      <c r="G619" s="21"/>
    </row>
    <row r="620" ht="15.75" customHeight="1">
      <c r="C620" s="20"/>
      <c r="D620" s="20"/>
      <c r="E620" s="20"/>
      <c r="F620" s="21"/>
      <c r="G620" s="21"/>
    </row>
    <row r="621" ht="15.75" customHeight="1">
      <c r="C621" s="20"/>
      <c r="D621" s="20"/>
      <c r="E621" s="20"/>
      <c r="F621" s="21"/>
      <c r="G621" s="21"/>
    </row>
    <row r="622" ht="15.75" customHeight="1">
      <c r="C622" s="20"/>
      <c r="D622" s="20"/>
      <c r="E622" s="20"/>
      <c r="F622" s="21"/>
      <c r="G622" s="21"/>
    </row>
    <row r="623" ht="15.75" customHeight="1">
      <c r="C623" s="20"/>
      <c r="D623" s="20"/>
      <c r="E623" s="20"/>
      <c r="F623" s="21"/>
      <c r="G623" s="21"/>
    </row>
    <row r="624" ht="15.75" customHeight="1">
      <c r="C624" s="20"/>
      <c r="D624" s="20"/>
      <c r="E624" s="20"/>
      <c r="F624" s="21"/>
      <c r="G624" s="21"/>
    </row>
    <row r="625" ht="15.75" customHeight="1">
      <c r="C625" s="20"/>
      <c r="D625" s="20"/>
      <c r="E625" s="20"/>
      <c r="F625" s="21"/>
      <c r="G625" s="21"/>
    </row>
    <row r="626" ht="15.75" customHeight="1">
      <c r="C626" s="20"/>
      <c r="D626" s="20"/>
      <c r="E626" s="20"/>
      <c r="F626" s="21"/>
      <c r="G626" s="21"/>
    </row>
    <row r="627" ht="15.75" customHeight="1">
      <c r="C627" s="20"/>
      <c r="D627" s="20"/>
      <c r="E627" s="20"/>
      <c r="F627" s="21"/>
      <c r="G627" s="21"/>
    </row>
    <row r="628" ht="15.75" customHeight="1">
      <c r="C628" s="20"/>
      <c r="D628" s="20"/>
      <c r="E628" s="20"/>
      <c r="F628" s="21"/>
      <c r="G628" s="21"/>
    </row>
    <row r="629" ht="15.75" customHeight="1">
      <c r="C629" s="20"/>
      <c r="D629" s="20"/>
      <c r="E629" s="20"/>
      <c r="F629" s="21"/>
      <c r="G629" s="21"/>
    </row>
    <row r="630" ht="15.75" customHeight="1">
      <c r="C630" s="20"/>
      <c r="D630" s="20"/>
      <c r="E630" s="20"/>
      <c r="F630" s="21"/>
      <c r="G630" s="21"/>
    </row>
    <row r="631" ht="15.75" customHeight="1">
      <c r="C631" s="20"/>
      <c r="D631" s="20"/>
      <c r="E631" s="20"/>
      <c r="F631" s="21"/>
      <c r="G631" s="21"/>
    </row>
    <row r="632" ht="15.75" customHeight="1">
      <c r="C632" s="20"/>
      <c r="D632" s="20"/>
      <c r="E632" s="20"/>
      <c r="F632" s="21"/>
      <c r="G632" s="21"/>
    </row>
    <row r="633" ht="15.75" customHeight="1">
      <c r="C633" s="20"/>
      <c r="D633" s="20"/>
      <c r="E633" s="20"/>
      <c r="F633" s="21"/>
      <c r="G633" s="21"/>
    </row>
    <row r="634" ht="15.75" customHeight="1">
      <c r="C634" s="20"/>
      <c r="D634" s="20"/>
      <c r="E634" s="20"/>
      <c r="F634" s="21"/>
      <c r="G634" s="21"/>
    </row>
    <row r="635" ht="15.75" customHeight="1">
      <c r="C635" s="20"/>
      <c r="D635" s="20"/>
      <c r="E635" s="20"/>
      <c r="F635" s="21"/>
      <c r="G635" s="21"/>
    </row>
    <row r="636" ht="15.75" customHeight="1">
      <c r="C636" s="20"/>
      <c r="D636" s="20"/>
      <c r="E636" s="20"/>
      <c r="F636" s="21"/>
      <c r="G636" s="21"/>
    </row>
    <row r="637" ht="15.75" customHeight="1">
      <c r="C637" s="20"/>
      <c r="D637" s="20"/>
      <c r="E637" s="20"/>
      <c r="F637" s="21"/>
      <c r="G637" s="21"/>
    </row>
    <row r="638" ht="15.75" customHeight="1">
      <c r="C638" s="20"/>
      <c r="D638" s="20"/>
      <c r="E638" s="20"/>
      <c r="F638" s="21"/>
      <c r="G638" s="21"/>
    </row>
    <row r="639" ht="15.75" customHeight="1">
      <c r="C639" s="20"/>
      <c r="D639" s="20"/>
      <c r="E639" s="20"/>
      <c r="F639" s="21"/>
      <c r="G639" s="21"/>
    </row>
    <row r="640" ht="15.75" customHeight="1">
      <c r="C640" s="20"/>
      <c r="D640" s="20"/>
      <c r="E640" s="20"/>
      <c r="F640" s="21"/>
      <c r="G640" s="21"/>
    </row>
    <row r="641" ht="15.75" customHeight="1">
      <c r="C641" s="20"/>
      <c r="D641" s="20"/>
      <c r="E641" s="20"/>
      <c r="F641" s="21"/>
      <c r="G641" s="21"/>
    </row>
    <row r="642" ht="15.75" customHeight="1">
      <c r="C642" s="20"/>
      <c r="D642" s="20"/>
      <c r="E642" s="20"/>
      <c r="F642" s="21"/>
      <c r="G642" s="21"/>
    </row>
    <row r="643" ht="15.75" customHeight="1">
      <c r="C643" s="20"/>
      <c r="D643" s="20"/>
      <c r="E643" s="20"/>
      <c r="F643" s="21"/>
      <c r="G643" s="21"/>
    </row>
    <row r="644" ht="15.75" customHeight="1">
      <c r="C644" s="20"/>
      <c r="D644" s="20"/>
      <c r="E644" s="20"/>
      <c r="F644" s="21"/>
      <c r="G644" s="21"/>
    </row>
    <row r="645" ht="15.75" customHeight="1">
      <c r="C645" s="20"/>
      <c r="D645" s="20"/>
      <c r="E645" s="20"/>
      <c r="F645" s="21"/>
      <c r="G645" s="21"/>
    </row>
    <row r="646" ht="15.75" customHeight="1">
      <c r="C646" s="20"/>
      <c r="D646" s="20"/>
      <c r="E646" s="20"/>
      <c r="F646" s="21"/>
      <c r="G646" s="21"/>
    </row>
    <row r="647" ht="15.75" customHeight="1">
      <c r="C647" s="20"/>
      <c r="D647" s="20"/>
      <c r="E647" s="20"/>
      <c r="F647" s="21"/>
      <c r="G647" s="21"/>
    </row>
    <row r="648" ht="15.75" customHeight="1">
      <c r="C648" s="20"/>
      <c r="D648" s="20"/>
      <c r="E648" s="20"/>
      <c r="F648" s="21"/>
      <c r="G648" s="21"/>
    </row>
    <row r="649" ht="15.75" customHeight="1">
      <c r="C649" s="20"/>
      <c r="D649" s="20"/>
      <c r="E649" s="20"/>
      <c r="F649" s="21"/>
      <c r="G649" s="21"/>
    </row>
    <row r="650" ht="15.75" customHeight="1">
      <c r="C650" s="20"/>
      <c r="D650" s="20"/>
      <c r="E650" s="20"/>
      <c r="F650" s="21"/>
      <c r="G650" s="21"/>
    </row>
    <row r="651" ht="15.75" customHeight="1">
      <c r="C651" s="20"/>
      <c r="D651" s="20"/>
      <c r="E651" s="20"/>
      <c r="F651" s="21"/>
      <c r="G651" s="21"/>
    </row>
    <row r="652" ht="15.75" customHeight="1">
      <c r="C652" s="20"/>
      <c r="D652" s="20"/>
      <c r="E652" s="20"/>
      <c r="F652" s="21"/>
      <c r="G652" s="21"/>
    </row>
    <row r="653" ht="15.75" customHeight="1">
      <c r="C653" s="20"/>
      <c r="D653" s="20"/>
      <c r="E653" s="20"/>
      <c r="F653" s="21"/>
      <c r="G653" s="21"/>
    </row>
    <row r="654" ht="15.75" customHeight="1">
      <c r="C654" s="20"/>
      <c r="D654" s="20"/>
      <c r="E654" s="20"/>
      <c r="F654" s="21"/>
      <c r="G654" s="21"/>
    </row>
    <row r="655" ht="15.75" customHeight="1">
      <c r="C655" s="20"/>
      <c r="D655" s="20"/>
      <c r="E655" s="20"/>
      <c r="F655" s="21"/>
      <c r="G655" s="21"/>
    </row>
    <row r="656" ht="15.75" customHeight="1">
      <c r="C656" s="20"/>
      <c r="D656" s="20"/>
      <c r="E656" s="20"/>
      <c r="F656" s="21"/>
      <c r="G656" s="21"/>
    </row>
    <row r="657" ht="15.75" customHeight="1">
      <c r="C657" s="20"/>
      <c r="D657" s="20"/>
      <c r="E657" s="20"/>
      <c r="F657" s="21"/>
      <c r="G657" s="21"/>
    </row>
    <row r="658" ht="15.75" customHeight="1">
      <c r="C658" s="20"/>
      <c r="D658" s="20"/>
      <c r="E658" s="20"/>
      <c r="F658" s="21"/>
      <c r="G658" s="21"/>
    </row>
    <row r="659" ht="15.75" customHeight="1">
      <c r="C659" s="20"/>
      <c r="D659" s="20"/>
      <c r="E659" s="20"/>
      <c r="F659" s="21"/>
      <c r="G659" s="21"/>
    </row>
    <row r="660" ht="15.75" customHeight="1">
      <c r="C660" s="20"/>
      <c r="D660" s="20"/>
      <c r="E660" s="20"/>
      <c r="F660" s="21"/>
      <c r="G660" s="21"/>
    </row>
    <row r="661" ht="15.75" customHeight="1">
      <c r="C661" s="20"/>
      <c r="D661" s="20"/>
      <c r="E661" s="20"/>
      <c r="F661" s="21"/>
      <c r="G661" s="21"/>
    </row>
    <row r="662" ht="15.75" customHeight="1">
      <c r="C662" s="20"/>
      <c r="D662" s="20"/>
      <c r="E662" s="20"/>
      <c r="F662" s="21"/>
      <c r="G662" s="21"/>
    </row>
    <row r="663" ht="15.75" customHeight="1">
      <c r="C663" s="20"/>
      <c r="D663" s="20"/>
      <c r="E663" s="20"/>
      <c r="F663" s="21"/>
      <c r="G663" s="21"/>
    </row>
    <row r="664" ht="15.75" customHeight="1">
      <c r="C664" s="20"/>
      <c r="D664" s="20"/>
      <c r="E664" s="20"/>
      <c r="F664" s="21"/>
      <c r="G664" s="21"/>
    </row>
    <row r="665" ht="15.75" customHeight="1">
      <c r="C665" s="20"/>
      <c r="D665" s="20"/>
      <c r="E665" s="20"/>
      <c r="F665" s="21"/>
      <c r="G665" s="21"/>
    </row>
    <row r="666" ht="15.75" customHeight="1">
      <c r="C666" s="20"/>
      <c r="D666" s="20"/>
      <c r="E666" s="20"/>
      <c r="F666" s="21"/>
      <c r="G666" s="21"/>
    </row>
    <row r="667" ht="15.75" customHeight="1">
      <c r="C667" s="20"/>
      <c r="D667" s="20"/>
      <c r="E667" s="20"/>
      <c r="F667" s="21"/>
      <c r="G667" s="21"/>
    </row>
    <row r="668" ht="15.75" customHeight="1">
      <c r="C668" s="20"/>
      <c r="D668" s="20"/>
      <c r="E668" s="20"/>
      <c r="F668" s="21"/>
      <c r="G668" s="21"/>
    </row>
    <row r="669" ht="15.75" customHeight="1">
      <c r="C669" s="20"/>
      <c r="D669" s="20"/>
      <c r="E669" s="20"/>
      <c r="F669" s="21"/>
      <c r="G669" s="21"/>
    </row>
    <row r="670" ht="15.75" customHeight="1">
      <c r="C670" s="20"/>
      <c r="D670" s="20"/>
      <c r="E670" s="20"/>
      <c r="F670" s="21"/>
      <c r="G670" s="21"/>
    </row>
    <row r="671" ht="15.75" customHeight="1">
      <c r="C671" s="20"/>
      <c r="D671" s="20"/>
      <c r="E671" s="20"/>
      <c r="F671" s="21"/>
      <c r="G671" s="21"/>
    </row>
    <row r="672" ht="15.75" customHeight="1">
      <c r="C672" s="20"/>
      <c r="D672" s="20"/>
      <c r="E672" s="20"/>
      <c r="F672" s="21"/>
      <c r="G672" s="21"/>
    </row>
    <row r="673" ht="15.75" customHeight="1">
      <c r="C673" s="20"/>
      <c r="D673" s="20"/>
      <c r="E673" s="20"/>
      <c r="F673" s="21"/>
      <c r="G673" s="21"/>
    </row>
    <row r="674" ht="15.75" customHeight="1">
      <c r="C674" s="20"/>
      <c r="D674" s="20"/>
      <c r="E674" s="20"/>
      <c r="F674" s="21"/>
      <c r="G674" s="21"/>
    </row>
    <row r="675" ht="15.75" customHeight="1">
      <c r="C675" s="20"/>
      <c r="D675" s="20"/>
      <c r="E675" s="20"/>
      <c r="F675" s="21"/>
      <c r="G675" s="21"/>
    </row>
    <row r="676" ht="15.75" customHeight="1">
      <c r="C676" s="20"/>
      <c r="D676" s="20"/>
      <c r="E676" s="20"/>
      <c r="F676" s="21"/>
      <c r="G676" s="21"/>
    </row>
    <row r="677" ht="15.75" customHeight="1">
      <c r="C677" s="20"/>
      <c r="D677" s="20"/>
      <c r="E677" s="20"/>
      <c r="F677" s="21"/>
      <c r="G677" s="21"/>
    </row>
    <row r="678" ht="15.75" customHeight="1">
      <c r="C678" s="20"/>
      <c r="D678" s="20"/>
      <c r="E678" s="20"/>
      <c r="F678" s="21"/>
      <c r="G678" s="21"/>
    </row>
    <row r="679" ht="15.75" customHeight="1">
      <c r="C679" s="20"/>
      <c r="D679" s="20"/>
      <c r="E679" s="20"/>
      <c r="F679" s="21"/>
      <c r="G679" s="21"/>
    </row>
    <row r="680" ht="15.75" customHeight="1">
      <c r="C680" s="20"/>
      <c r="D680" s="20"/>
      <c r="E680" s="20"/>
      <c r="F680" s="21"/>
      <c r="G680" s="21"/>
    </row>
    <row r="681" ht="15.75" customHeight="1">
      <c r="C681" s="20"/>
      <c r="D681" s="20"/>
      <c r="E681" s="20"/>
      <c r="F681" s="21"/>
      <c r="G681" s="21"/>
    </row>
    <row r="682" ht="15.75" customHeight="1">
      <c r="C682" s="20"/>
      <c r="D682" s="20"/>
      <c r="E682" s="20"/>
      <c r="F682" s="21"/>
      <c r="G682" s="21"/>
    </row>
    <row r="683" ht="15.75" customHeight="1">
      <c r="C683" s="20"/>
      <c r="D683" s="20"/>
      <c r="E683" s="20"/>
      <c r="F683" s="21"/>
      <c r="G683" s="21"/>
    </row>
    <row r="684" ht="15.75" customHeight="1">
      <c r="C684" s="20"/>
      <c r="D684" s="20"/>
      <c r="E684" s="20"/>
      <c r="F684" s="21"/>
      <c r="G684" s="21"/>
    </row>
    <row r="685" ht="15.75" customHeight="1">
      <c r="C685" s="20"/>
      <c r="D685" s="20"/>
      <c r="E685" s="20"/>
      <c r="F685" s="21"/>
      <c r="G685" s="21"/>
    </row>
    <row r="686" ht="15.75" customHeight="1">
      <c r="C686" s="20"/>
      <c r="D686" s="20"/>
      <c r="E686" s="20"/>
      <c r="F686" s="21"/>
      <c r="G686" s="21"/>
    </row>
    <row r="687" ht="15.75" customHeight="1">
      <c r="C687" s="20"/>
      <c r="D687" s="20"/>
      <c r="E687" s="20"/>
      <c r="F687" s="21"/>
      <c r="G687" s="21"/>
    </row>
    <row r="688" ht="15.75" customHeight="1">
      <c r="C688" s="20"/>
      <c r="D688" s="20"/>
      <c r="E688" s="20"/>
      <c r="F688" s="21"/>
      <c r="G688" s="21"/>
    </row>
    <row r="689" ht="15.75" customHeight="1">
      <c r="C689" s="20"/>
      <c r="D689" s="20"/>
      <c r="E689" s="20"/>
      <c r="F689" s="21"/>
      <c r="G689" s="21"/>
    </row>
    <row r="690" ht="15.75" customHeight="1">
      <c r="C690" s="20"/>
      <c r="D690" s="20"/>
      <c r="E690" s="20"/>
      <c r="F690" s="21"/>
      <c r="G690" s="21"/>
    </row>
    <row r="691" ht="15.75" customHeight="1">
      <c r="C691" s="20"/>
      <c r="D691" s="20"/>
      <c r="E691" s="20"/>
      <c r="F691" s="21"/>
      <c r="G691" s="21"/>
    </row>
    <row r="692" ht="15.75" customHeight="1">
      <c r="C692" s="20"/>
      <c r="D692" s="20"/>
      <c r="E692" s="20"/>
      <c r="F692" s="21"/>
      <c r="G692" s="21"/>
    </row>
    <row r="693" ht="15.75" customHeight="1">
      <c r="C693" s="20"/>
      <c r="D693" s="20"/>
      <c r="E693" s="20"/>
      <c r="F693" s="21"/>
      <c r="G693" s="21"/>
    </row>
    <row r="694" ht="15.75" customHeight="1">
      <c r="C694" s="20"/>
      <c r="D694" s="20"/>
      <c r="E694" s="20"/>
      <c r="F694" s="21"/>
      <c r="G694" s="21"/>
    </row>
    <row r="695" ht="15.75" customHeight="1">
      <c r="C695" s="20"/>
      <c r="D695" s="20"/>
      <c r="E695" s="20"/>
      <c r="F695" s="21"/>
      <c r="G695" s="21"/>
    </row>
    <row r="696" ht="15.75" customHeight="1">
      <c r="C696" s="20"/>
      <c r="D696" s="20"/>
      <c r="E696" s="20"/>
      <c r="F696" s="21"/>
      <c r="G696" s="21"/>
    </row>
    <row r="697" ht="15.75" customHeight="1">
      <c r="C697" s="20"/>
      <c r="D697" s="20"/>
      <c r="E697" s="20"/>
      <c r="F697" s="21"/>
      <c r="G697" s="21"/>
    </row>
    <row r="698" ht="15.75" customHeight="1">
      <c r="C698" s="20"/>
      <c r="D698" s="20"/>
      <c r="E698" s="20"/>
      <c r="F698" s="21"/>
      <c r="G698" s="21"/>
    </row>
    <row r="699" ht="15.75" customHeight="1">
      <c r="C699" s="20"/>
      <c r="D699" s="20"/>
      <c r="E699" s="20"/>
      <c r="F699" s="21"/>
      <c r="G699" s="21"/>
    </row>
    <row r="700" ht="15.75" customHeight="1">
      <c r="C700" s="20"/>
      <c r="D700" s="20"/>
      <c r="E700" s="20"/>
      <c r="F700" s="21"/>
      <c r="G700" s="21"/>
    </row>
    <row r="701" ht="15.75" customHeight="1">
      <c r="C701" s="20"/>
      <c r="D701" s="20"/>
      <c r="E701" s="20"/>
      <c r="F701" s="21"/>
      <c r="G701" s="21"/>
    </row>
    <row r="702" ht="15.75" customHeight="1">
      <c r="C702" s="20"/>
      <c r="D702" s="20"/>
      <c r="E702" s="20"/>
      <c r="F702" s="21"/>
      <c r="G702" s="21"/>
    </row>
    <row r="703" ht="15.75" customHeight="1">
      <c r="C703" s="20"/>
      <c r="D703" s="20"/>
      <c r="E703" s="20"/>
      <c r="F703" s="21"/>
      <c r="G703" s="21"/>
    </row>
    <row r="704" ht="15.75" customHeight="1">
      <c r="C704" s="20"/>
      <c r="D704" s="20"/>
      <c r="E704" s="20"/>
      <c r="F704" s="21"/>
      <c r="G704" s="21"/>
    </row>
    <row r="705" ht="15.75" customHeight="1">
      <c r="C705" s="20"/>
      <c r="D705" s="20"/>
      <c r="E705" s="20"/>
      <c r="F705" s="21"/>
      <c r="G705" s="21"/>
    </row>
    <row r="706" ht="15.75" customHeight="1">
      <c r="C706" s="20"/>
      <c r="D706" s="20"/>
      <c r="E706" s="20"/>
      <c r="F706" s="21"/>
      <c r="G706" s="21"/>
    </row>
    <row r="707" ht="15.75" customHeight="1">
      <c r="C707" s="20"/>
      <c r="D707" s="20"/>
      <c r="E707" s="20"/>
      <c r="F707" s="21"/>
      <c r="G707" s="21"/>
    </row>
    <row r="708" ht="15.75" customHeight="1">
      <c r="C708" s="20"/>
      <c r="D708" s="20"/>
      <c r="E708" s="20"/>
      <c r="F708" s="21"/>
      <c r="G708" s="21"/>
    </row>
    <row r="709" ht="15.75" customHeight="1">
      <c r="C709" s="20"/>
      <c r="D709" s="20"/>
      <c r="E709" s="20"/>
      <c r="F709" s="21"/>
      <c r="G709" s="21"/>
    </row>
    <row r="710" ht="15.75" customHeight="1">
      <c r="C710" s="20"/>
      <c r="D710" s="20"/>
      <c r="E710" s="20"/>
      <c r="F710" s="21"/>
      <c r="G710" s="21"/>
    </row>
    <row r="711" ht="15.75" customHeight="1">
      <c r="C711" s="20"/>
      <c r="D711" s="20"/>
      <c r="E711" s="20"/>
      <c r="F711" s="21"/>
      <c r="G711" s="21"/>
    </row>
    <row r="712" ht="15.75" customHeight="1">
      <c r="C712" s="20"/>
      <c r="D712" s="20"/>
      <c r="E712" s="20"/>
      <c r="F712" s="21"/>
      <c r="G712" s="21"/>
    </row>
    <row r="713" ht="15.75" customHeight="1">
      <c r="C713" s="20"/>
      <c r="D713" s="20"/>
      <c r="E713" s="20"/>
      <c r="F713" s="21"/>
      <c r="G713" s="21"/>
    </row>
    <row r="714" ht="15.75" customHeight="1">
      <c r="C714" s="20"/>
      <c r="D714" s="20"/>
      <c r="E714" s="20"/>
      <c r="F714" s="21"/>
      <c r="G714" s="21"/>
    </row>
    <row r="715" ht="15.75" customHeight="1">
      <c r="C715" s="20"/>
      <c r="D715" s="20"/>
      <c r="E715" s="20"/>
      <c r="F715" s="21"/>
      <c r="G715" s="21"/>
    </row>
    <row r="716" ht="15.75" customHeight="1">
      <c r="C716" s="20"/>
      <c r="D716" s="20"/>
      <c r="E716" s="20"/>
      <c r="F716" s="21"/>
      <c r="G716" s="21"/>
    </row>
    <row r="717" ht="15.75" customHeight="1">
      <c r="C717" s="20"/>
      <c r="D717" s="20"/>
      <c r="E717" s="20"/>
      <c r="F717" s="21"/>
      <c r="G717" s="21"/>
    </row>
    <row r="718" ht="15.75" customHeight="1">
      <c r="C718" s="20"/>
      <c r="D718" s="20"/>
      <c r="E718" s="20"/>
      <c r="F718" s="21"/>
      <c r="G718" s="21"/>
    </row>
    <row r="719" ht="15.75" customHeight="1">
      <c r="C719" s="20"/>
      <c r="D719" s="20"/>
      <c r="E719" s="20"/>
      <c r="F719" s="21"/>
      <c r="G719" s="21"/>
    </row>
    <row r="720" ht="15.75" customHeight="1">
      <c r="C720" s="20"/>
      <c r="D720" s="20"/>
      <c r="E720" s="20"/>
      <c r="F720" s="21"/>
      <c r="G720" s="21"/>
    </row>
    <row r="721" ht="15.75" customHeight="1">
      <c r="C721" s="20"/>
      <c r="D721" s="20"/>
      <c r="E721" s="20"/>
      <c r="F721" s="21"/>
      <c r="G721" s="21"/>
    </row>
    <row r="722" ht="15.75" customHeight="1">
      <c r="C722" s="20"/>
      <c r="D722" s="20"/>
      <c r="E722" s="20"/>
      <c r="F722" s="21"/>
      <c r="G722" s="21"/>
    </row>
    <row r="723" ht="15.75" customHeight="1">
      <c r="C723" s="20"/>
      <c r="D723" s="20"/>
      <c r="E723" s="20"/>
      <c r="F723" s="21"/>
      <c r="G723" s="21"/>
    </row>
    <row r="724" ht="15.75" customHeight="1">
      <c r="C724" s="20"/>
      <c r="D724" s="20"/>
      <c r="E724" s="20"/>
      <c r="F724" s="21"/>
      <c r="G724" s="21"/>
    </row>
    <row r="725" ht="15.75" customHeight="1">
      <c r="C725" s="20"/>
      <c r="D725" s="20"/>
      <c r="E725" s="20"/>
      <c r="F725" s="21"/>
      <c r="G725" s="21"/>
    </row>
    <row r="726" ht="15.75" customHeight="1">
      <c r="C726" s="20"/>
      <c r="D726" s="20"/>
      <c r="E726" s="20"/>
      <c r="F726" s="21"/>
      <c r="G726" s="21"/>
    </row>
    <row r="727" ht="15.75" customHeight="1">
      <c r="C727" s="20"/>
      <c r="D727" s="20"/>
      <c r="E727" s="20"/>
      <c r="F727" s="21"/>
      <c r="G727" s="21"/>
    </row>
    <row r="728" ht="15.75" customHeight="1">
      <c r="C728" s="20"/>
      <c r="D728" s="20"/>
      <c r="E728" s="20"/>
      <c r="F728" s="21"/>
      <c r="G728" s="21"/>
    </row>
    <row r="729" ht="15.75" customHeight="1">
      <c r="C729" s="20"/>
      <c r="D729" s="20"/>
      <c r="E729" s="20"/>
      <c r="F729" s="21"/>
      <c r="G729" s="21"/>
    </row>
    <row r="730" ht="15.75" customHeight="1">
      <c r="C730" s="20"/>
      <c r="D730" s="20"/>
      <c r="E730" s="20"/>
      <c r="F730" s="21"/>
      <c r="G730" s="21"/>
    </row>
    <row r="731" ht="15.75" customHeight="1">
      <c r="C731" s="20"/>
      <c r="D731" s="20"/>
      <c r="E731" s="20"/>
      <c r="F731" s="21"/>
      <c r="G731" s="21"/>
    </row>
    <row r="732" ht="15.75" customHeight="1">
      <c r="C732" s="20"/>
      <c r="D732" s="20"/>
      <c r="E732" s="20"/>
      <c r="F732" s="21"/>
      <c r="G732" s="21"/>
    </row>
    <row r="733" ht="15.75" customHeight="1">
      <c r="C733" s="20"/>
      <c r="D733" s="20"/>
      <c r="E733" s="20"/>
      <c r="F733" s="21"/>
      <c r="G733" s="21"/>
    </row>
    <row r="734" ht="15.75" customHeight="1">
      <c r="C734" s="20"/>
      <c r="D734" s="20"/>
      <c r="E734" s="20"/>
      <c r="F734" s="21"/>
      <c r="G734" s="21"/>
    </row>
    <row r="735" ht="15.75" customHeight="1">
      <c r="C735" s="20"/>
      <c r="D735" s="20"/>
      <c r="E735" s="20"/>
      <c r="F735" s="21"/>
      <c r="G735" s="21"/>
    </row>
    <row r="736" ht="15.75" customHeight="1">
      <c r="C736" s="20"/>
      <c r="D736" s="20"/>
      <c r="E736" s="20"/>
      <c r="F736" s="21"/>
      <c r="G736" s="21"/>
    </row>
    <row r="737" ht="15.75" customHeight="1">
      <c r="C737" s="20"/>
      <c r="D737" s="20"/>
      <c r="E737" s="20"/>
      <c r="F737" s="21"/>
      <c r="G737" s="21"/>
    </row>
    <row r="738" ht="15.75" customHeight="1">
      <c r="C738" s="20"/>
      <c r="D738" s="20"/>
      <c r="E738" s="20"/>
      <c r="F738" s="21"/>
      <c r="G738" s="21"/>
    </row>
    <row r="739" ht="15.75" customHeight="1">
      <c r="C739" s="20"/>
      <c r="D739" s="20"/>
      <c r="E739" s="20"/>
      <c r="F739" s="21"/>
      <c r="G739" s="21"/>
    </row>
    <row r="740" ht="15.75" customHeight="1">
      <c r="C740" s="20"/>
      <c r="D740" s="20"/>
      <c r="E740" s="20"/>
      <c r="F740" s="21"/>
      <c r="G740" s="21"/>
    </row>
    <row r="741" ht="15.75" customHeight="1">
      <c r="C741" s="20"/>
      <c r="D741" s="20"/>
      <c r="E741" s="20"/>
      <c r="F741" s="21"/>
      <c r="G741" s="21"/>
    </row>
    <row r="742" ht="15.75" customHeight="1">
      <c r="C742" s="20"/>
      <c r="D742" s="20"/>
      <c r="E742" s="20"/>
      <c r="F742" s="21"/>
      <c r="G742" s="21"/>
    </row>
    <row r="743" ht="15.75" customHeight="1">
      <c r="C743" s="20"/>
      <c r="D743" s="20"/>
      <c r="E743" s="20"/>
      <c r="F743" s="21"/>
      <c r="G743" s="21"/>
    </row>
    <row r="744" ht="15.75" customHeight="1">
      <c r="C744" s="20"/>
      <c r="D744" s="20"/>
      <c r="E744" s="20"/>
      <c r="F744" s="21"/>
      <c r="G744" s="21"/>
    </row>
    <row r="745" ht="15.75" customHeight="1">
      <c r="C745" s="20"/>
      <c r="D745" s="20"/>
      <c r="E745" s="20"/>
      <c r="F745" s="21"/>
      <c r="G745" s="21"/>
    </row>
    <row r="746" ht="15.75" customHeight="1">
      <c r="C746" s="20"/>
      <c r="D746" s="20"/>
      <c r="E746" s="20"/>
      <c r="F746" s="21"/>
      <c r="G746" s="21"/>
    </row>
    <row r="747" ht="15.75" customHeight="1">
      <c r="C747" s="20"/>
      <c r="D747" s="20"/>
      <c r="E747" s="20"/>
      <c r="F747" s="21"/>
      <c r="G747" s="21"/>
    </row>
    <row r="748" ht="15.75" customHeight="1">
      <c r="C748" s="20"/>
      <c r="D748" s="20"/>
      <c r="E748" s="20"/>
      <c r="F748" s="21"/>
      <c r="G748" s="21"/>
    </row>
    <row r="749" ht="15.75" customHeight="1">
      <c r="C749" s="20"/>
      <c r="D749" s="20"/>
      <c r="E749" s="20"/>
      <c r="F749" s="21"/>
      <c r="G749" s="21"/>
    </row>
    <row r="750" ht="15.75" customHeight="1">
      <c r="C750" s="20"/>
      <c r="D750" s="20"/>
      <c r="E750" s="20"/>
      <c r="F750" s="21"/>
      <c r="G750" s="21"/>
    </row>
    <row r="751" ht="15.75" customHeight="1">
      <c r="C751" s="20"/>
      <c r="D751" s="20"/>
      <c r="E751" s="20"/>
      <c r="F751" s="21"/>
      <c r="G751" s="21"/>
    </row>
    <row r="752" ht="15.75" customHeight="1">
      <c r="C752" s="20"/>
      <c r="D752" s="20"/>
      <c r="E752" s="20"/>
      <c r="F752" s="21"/>
      <c r="G752" s="21"/>
    </row>
    <row r="753" ht="15.75" customHeight="1">
      <c r="C753" s="20"/>
      <c r="D753" s="20"/>
      <c r="E753" s="20"/>
      <c r="F753" s="21"/>
      <c r="G753" s="21"/>
    </row>
    <row r="754" ht="15.75" customHeight="1">
      <c r="C754" s="20"/>
      <c r="D754" s="20"/>
      <c r="E754" s="20"/>
      <c r="F754" s="21"/>
      <c r="G754" s="21"/>
    </row>
    <row r="755" ht="15.75" customHeight="1">
      <c r="C755" s="20"/>
      <c r="D755" s="20"/>
      <c r="E755" s="20"/>
      <c r="F755" s="21"/>
      <c r="G755" s="21"/>
    </row>
    <row r="756" ht="15.75" customHeight="1">
      <c r="C756" s="20"/>
      <c r="D756" s="20"/>
      <c r="E756" s="20"/>
      <c r="F756" s="21"/>
      <c r="G756" s="21"/>
    </row>
    <row r="757" ht="15.75" customHeight="1">
      <c r="C757" s="20"/>
      <c r="D757" s="20"/>
      <c r="E757" s="20"/>
      <c r="F757" s="21"/>
      <c r="G757" s="21"/>
    </row>
    <row r="758" ht="15.75" customHeight="1">
      <c r="C758" s="20"/>
      <c r="D758" s="20"/>
      <c r="E758" s="20"/>
      <c r="F758" s="21"/>
      <c r="G758" s="21"/>
    </row>
    <row r="759" ht="15.75" customHeight="1">
      <c r="C759" s="20"/>
      <c r="D759" s="20"/>
      <c r="E759" s="20"/>
      <c r="F759" s="21"/>
      <c r="G759" s="21"/>
    </row>
    <row r="760" ht="15.75" customHeight="1">
      <c r="C760" s="20"/>
      <c r="D760" s="20"/>
      <c r="E760" s="20"/>
      <c r="F760" s="21"/>
      <c r="G760" s="21"/>
    </row>
    <row r="761" ht="15.75" customHeight="1">
      <c r="C761" s="20"/>
      <c r="D761" s="20"/>
      <c r="E761" s="20"/>
      <c r="F761" s="21"/>
      <c r="G761" s="21"/>
    </row>
    <row r="762" ht="15.75" customHeight="1">
      <c r="C762" s="20"/>
      <c r="D762" s="20"/>
      <c r="E762" s="20"/>
      <c r="F762" s="21"/>
      <c r="G762" s="21"/>
    </row>
    <row r="763" ht="15.75" customHeight="1">
      <c r="C763" s="20"/>
      <c r="D763" s="20"/>
      <c r="E763" s="20"/>
      <c r="F763" s="21"/>
      <c r="G763" s="21"/>
    </row>
    <row r="764" ht="15.75" customHeight="1">
      <c r="C764" s="20"/>
      <c r="D764" s="20"/>
      <c r="E764" s="20"/>
      <c r="F764" s="21"/>
      <c r="G764" s="21"/>
    </row>
    <row r="765" ht="15.75" customHeight="1">
      <c r="C765" s="20"/>
      <c r="D765" s="20"/>
      <c r="E765" s="20"/>
      <c r="F765" s="21"/>
      <c r="G765" s="21"/>
    </row>
    <row r="766" ht="15.75" customHeight="1">
      <c r="C766" s="20"/>
      <c r="D766" s="20"/>
      <c r="E766" s="20"/>
      <c r="F766" s="21"/>
      <c r="G766" s="21"/>
    </row>
    <row r="767" ht="15.75" customHeight="1">
      <c r="C767" s="20"/>
      <c r="D767" s="20"/>
      <c r="E767" s="20"/>
      <c r="F767" s="21"/>
      <c r="G767" s="21"/>
    </row>
    <row r="768" ht="15.75" customHeight="1">
      <c r="C768" s="20"/>
      <c r="D768" s="20"/>
      <c r="E768" s="20"/>
      <c r="F768" s="21"/>
      <c r="G768" s="21"/>
    </row>
    <row r="769" ht="15.75" customHeight="1">
      <c r="C769" s="20"/>
      <c r="D769" s="20"/>
      <c r="E769" s="20"/>
      <c r="F769" s="21"/>
      <c r="G769" s="21"/>
    </row>
    <row r="770" ht="15.75" customHeight="1">
      <c r="C770" s="20"/>
      <c r="D770" s="20"/>
      <c r="E770" s="20"/>
      <c r="F770" s="21"/>
      <c r="G770" s="21"/>
    </row>
    <row r="771" ht="15.75" customHeight="1">
      <c r="C771" s="20"/>
      <c r="D771" s="20"/>
      <c r="E771" s="20"/>
      <c r="F771" s="21"/>
      <c r="G771" s="21"/>
    </row>
    <row r="772" ht="15.75" customHeight="1">
      <c r="C772" s="20"/>
      <c r="D772" s="20"/>
      <c r="E772" s="20"/>
      <c r="F772" s="21"/>
      <c r="G772" s="21"/>
    </row>
    <row r="773" ht="15.75" customHeight="1">
      <c r="C773" s="20"/>
      <c r="D773" s="20"/>
      <c r="E773" s="20"/>
      <c r="F773" s="21"/>
      <c r="G773" s="21"/>
    </row>
    <row r="774" ht="15.75" customHeight="1">
      <c r="C774" s="20"/>
      <c r="D774" s="20"/>
      <c r="E774" s="20"/>
      <c r="F774" s="21"/>
      <c r="G774" s="21"/>
    </row>
    <row r="775" ht="15.75" customHeight="1">
      <c r="C775" s="20"/>
      <c r="D775" s="20"/>
      <c r="E775" s="20"/>
      <c r="F775" s="21"/>
      <c r="G775" s="21"/>
    </row>
    <row r="776" ht="15.75" customHeight="1">
      <c r="C776" s="20"/>
      <c r="D776" s="20"/>
      <c r="E776" s="20"/>
      <c r="F776" s="21"/>
      <c r="G776" s="21"/>
    </row>
    <row r="777" ht="15.75" customHeight="1">
      <c r="C777" s="20"/>
      <c r="D777" s="20"/>
      <c r="E777" s="20"/>
      <c r="F777" s="21"/>
      <c r="G777" s="21"/>
    </row>
    <row r="778" ht="15.75" customHeight="1">
      <c r="C778" s="20"/>
      <c r="D778" s="20"/>
      <c r="E778" s="20"/>
      <c r="F778" s="21"/>
      <c r="G778" s="21"/>
    </row>
    <row r="779" ht="15.75" customHeight="1">
      <c r="C779" s="20"/>
      <c r="D779" s="20"/>
      <c r="E779" s="20"/>
      <c r="F779" s="21"/>
      <c r="G779" s="21"/>
    </row>
    <row r="780" ht="15.75" customHeight="1">
      <c r="C780" s="20"/>
      <c r="D780" s="20"/>
      <c r="E780" s="20"/>
      <c r="F780" s="21"/>
      <c r="G780" s="21"/>
    </row>
    <row r="781" ht="15.75" customHeight="1">
      <c r="C781" s="20"/>
      <c r="D781" s="20"/>
      <c r="E781" s="20"/>
      <c r="F781" s="21"/>
      <c r="G781" s="21"/>
    </row>
    <row r="782" ht="15.75" customHeight="1">
      <c r="C782" s="20"/>
      <c r="D782" s="20"/>
      <c r="E782" s="20"/>
      <c r="F782" s="21"/>
      <c r="G782" s="21"/>
    </row>
    <row r="783" ht="15.75" customHeight="1">
      <c r="C783" s="20"/>
      <c r="D783" s="20"/>
      <c r="E783" s="20"/>
      <c r="F783" s="21"/>
      <c r="G783" s="21"/>
    </row>
    <row r="784" ht="15.75" customHeight="1">
      <c r="C784" s="20"/>
      <c r="D784" s="20"/>
      <c r="E784" s="20"/>
      <c r="F784" s="21"/>
      <c r="G784" s="21"/>
    </row>
    <row r="785" ht="15.75" customHeight="1">
      <c r="C785" s="20"/>
      <c r="D785" s="20"/>
      <c r="E785" s="20"/>
      <c r="F785" s="21"/>
      <c r="G785" s="21"/>
    </row>
    <row r="786" ht="15.75" customHeight="1">
      <c r="C786" s="20"/>
      <c r="D786" s="20"/>
      <c r="E786" s="20"/>
      <c r="F786" s="21"/>
      <c r="G786" s="21"/>
    </row>
    <row r="787" ht="15.75" customHeight="1">
      <c r="C787" s="20"/>
      <c r="D787" s="20"/>
      <c r="E787" s="20"/>
      <c r="F787" s="21"/>
      <c r="G787" s="21"/>
    </row>
    <row r="788" ht="15.75" customHeight="1">
      <c r="C788" s="20"/>
      <c r="D788" s="20"/>
      <c r="E788" s="20"/>
      <c r="F788" s="21"/>
      <c r="G788" s="21"/>
    </row>
    <row r="789" ht="15.75" customHeight="1">
      <c r="C789" s="20"/>
      <c r="D789" s="20"/>
      <c r="E789" s="20"/>
      <c r="F789" s="21"/>
      <c r="G789" s="21"/>
    </row>
    <row r="790" ht="15.75" customHeight="1">
      <c r="C790" s="20"/>
      <c r="D790" s="20"/>
      <c r="E790" s="20"/>
      <c r="F790" s="21"/>
      <c r="G790" s="21"/>
    </row>
    <row r="791" ht="15.75" customHeight="1">
      <c r="C791" s="20"/>
      <c r="D791" s="20"/>
      <c r="E791" s="20"/>
      <c r="F791" s="21"/>
      <c r="G791" s="21"/>
    </row>
    <row r="792" ht="15.75" customHeight="1">
      <c r="C792" s="20"/>
      <c r="D792" s="20"/>
      <c r="E792" s="20"/>
      <c r="F792" s="21"/>
      <c r="G792" s="21"/>
    </row>
    <row r="793" ht="15.75" customHeight="1">
      <c r="C793" s="20"/>
      <c r="D793" s="20"/>
      <c r="E793" s="20"/>
      <c r="F793" s="21"/>
      <c r="G793" s="21"/>
    </row>
    <row r="794" ht="15.75" customHeight="1">
      <c r="C794" s="20"/>
      <c r="D794" s="20"/>
      <c r="E794" s="20"/>
      <c r="F794" s="21"/>
      <c r="G794" s="21"/>
    </row>
    <row r="795" ht="15.75" customHeight="1">
      <c r="C795" s="20"/>
      <c r="D795" s="20"/>
      <c r="E795" s="20"/>
      <c r="F795" s="21"/>
      <c r="G795" s="21"/>
    </row>
    <row r="796" ht="15.75" customHeight="1">
      <c r="C796" s="20"/>
      <c r="D796" s="20"/>
      <c r="E796" s="20"/>
      <c r="F796" s="21"/>
      <c r="G796" s="21"/>
    </row>
    <row r="797" ht="15.75" customHeight="1">
      <c r="C797" s="20"/>
      <c r="D797" s="20"/>
      <c r="E797" s="20"/>
      <c r="F797" s="21"/>
      <c r="G797" s="21"/>
    </row>
    <row r="798" ht="15.75" customHeight="1">
      <c r="C798" s="20"/>
      <c r="D798" s="20"/>
      <c r="E798" s="20"/>
      <c r="F798" s="21"/>
      <c r="G798" s="21"/>
    </row>
    <row r="799" ht="15.75" customHeight="1">
      <c r="C799" s="20"/>
      <c r="D799" s="20"/>
      <c r="E799" s="20"/>
      <c r="F799" s="21"/>
      <c r="G799" s="21"/>
    </row>
    <row r="800" ht="15.75" customHeight="1">
      <c r="C800" s="20"/>
      <c r="D800" s="20"/>
      <c r="E800" s="20"/>
      <c r="F800" s="21"/>
      <c r="G800" s="21"/>
    </row>
    <row r="801" ht="15.75" customHeight="1">
      <c r="C801" s="20"/>
      <c r="D801" s="20"/>
      <c r="E801" s="20"/>
      <c r="F801" s="21"/>
      <c r="G801" s="21"/>
    </row>
    <row r="802" ht="15.75" customHeight="1">
      <c r="C802" s="20"/>
      <c r="D802" s="20"/>
      <c r="E802" s="20"/>
      <c r="F802" s="21"/>
      <c r="G802" s="21"/>
    </row>
    <row r="803" ht="15.75" customHeight="1">
      <c r="C803" s="20"/>
      <c r="D803" s="20"/>
      <c r="E803" s="20"/>
      <c r="F803" s="21"/>
      <c r="G803" s="21"/>
    </row>
    <row r="804" ht="15.75" customHeight="1">
      <c r="C804" s="20"/>
      <c r="D804" s="20"/>
      <c r="E804" s="20"/>
      <c r="F804" s="21"/>
      <c r="G804" s="21"/>
    </row>
    <row r="805" ht="15.75" customHeight="1">
      <c r="C805" s="20"/>
      <c r="D805" s="20"/>
      <c r="E805" s="20"/>
      <c r="F805" s="21"/>
      <c r="G805" s="21"/>
    </row>
    <row r="806" ht="15.75" customHeight="1">
      <c r="C806" s="20"/>
      <c r="D806" s="20"/>
      <c r="E806" s="20"/>
      <c r="F806" s="21"/>
      <c r="G806" s="21"/>
    </row>
    <row r="807" ht="15.75" customHeight="1">
      <c r="C807" s="20"/>
      <c r="D807" s="20"/>
      <c r="E807" s="20"/>
      <c r="F807" s="21"/>
      <c r="G807" s="21"/>
    </row>
    <row r="808" ht="15.75" customHeight="1">
      <c r="C808" s="20"/>
      <c r="D808" s="20"/>
      <c r="E808" s="20"/>
      <c r="F808" s="21"/>
      <c r="G808" s="21"/>
    </row>
    <row r="809" ht="15.75" customHeight="1">
      <c r="C809" s="20"/>
      <c r="D809" s="20"/>
      <c r="E809" s="20"/>
      <c r="F809" s="21"/>
      <c r="G809" s="21"/>
    </row>
    <row r="810" ht="15.75" customHeight="1">
      <c r="C810" s="20"/>
      <c r="D810" s="20"/>
      <c r="E810" s="20"/>
      <c r="F810" s="21"/>
      <c r="G810" s="21"/>
    </row>
    <row r="811" ht="15.75" customHeight="1">
      <c r="C811" s="20"/>
      <c r="D811" s="20"/>
      <c r="E811" s="20"/>
      <c r="F811" s="21"/>
      <c r="G811" s="21"/>
    </row>
    <row r="812" ht="15.75" customHeight="1">
      <c r="C812" s="20"/>
      <c r="D812" s="20"/>
      <c r="E812" s="20"/>
      <c r="F812" s="21"/>
      <c r="G812" s="21"/>
    </row>
    <row r="813" ht="15.75" customHeight="1">
      <c r="C813" s="20"/>
      <c r="D813" s="20"/>
      <c r="E813" s="20"/>
      <c r="F813" s="21"/>
      <c r="G813" s="21"/>
    </row>
    <row r="814" ht="15.75" customHeight="1">
      <c r="C814" s="20"/>
      <c r="D814" s="20"/>
      <c r="E814" s="20"/>
      <c r="F814" s="21"/>
      <c r="G814" s="21"/>
    </row>
    <row r="815" ht="15.75" customHeight="1">
      <c r="C815" s="20"/>
      <c r="D815" s="20"/>
      <c r="E815" s="20"/>
      <c r="F815" s="21"/>
      <c r="G815" s="21"/>
    </row>
    <row r="816" ht="15.75" customHeight="1">
      <c r="C816" s="20"/>
      <c r="D816" s="20"/>
      <c r="E816" s="20"/>
      <c r="F816" s="21"/>
      <c r="G816" s="21"/>
    </row>
    <row r="817" ht="15.75" customHeight="1">
      <c r="C817" s="20"/>
      <c r="D817" s="20"/>
      <c r="E817" s="20"/>
      <c r="F817" s="21"/>
      <c r="G817" s="21"/>
    </row>
    <row r="818" ht="15.75" customHeight="1">
      <c r="C818" s="20"/>
      <c r="D818" s="20"/>
      <c r="E818" s="20"/>
      <c r="F818" s="21"/>
      <c r="G818" s="21"/>
    </row>
    <row r="819" ht="15.75" customHeight="1">
      <c r="C819" s="20"/>
      <c r="D819" s="20"/>
      <c r="E819" s="20"/>
      <c r="F819" s="21"/>
      <c r="G819" s="21"/>
    </row>
    <row r="820" ht="15.75" customHeight="1">
      <c r="C820" s="20"/>
      <c r="D820" s="20"/>
      <c r="E820" s="20"/>
      <c r="F820" s="21"/>
      <c r="G820" s="21"/>
    </row>
    <row r="821" ht="15.75" customHeight="1">
      <c r="C821" s="20"/>
      <c r="D821" s="20"/>
      <c r="E821" s="20"/>
      <c r="F821" s="21"/>
      <c r="G821" s="21"/>
    </row>
    <row r="822" ht="15.75" customHeight="1">
      <c r="C822" s="20"/>
      <c r="D822" s="20"/>
      <c r="E822" s="20"/>
      <c r="F822" s="21"/>
      <c r="G822" s="21"/>
    </row>
    <row r="823" ht="15.75" customHeight="1">
      <c r="C823" s="20"/>
      <c r="D823" s="20"/>
      <c r="E823" s="20"/>
      <c r="F823" s="21"/>
      <c r="G823" s="21"/>
    </row>
    <row r="824" ht="15.75" customHeight="1">
      <c r="C824" s="20"/>
      <c r="D824" s="20"/>
      <c r="E824" s="20"/>
      <c r="F824" s="21"/>
      <c r="G824" s="21"/>
    </row>
    <row r="825" ht="15.75" customHeight="1">
      <c r="C825" s="20"/>
      <c r="D825" s="20"/>
      <c r="E825" s="20"/>
      <c r="F825" s="21"/>
      <c r="G825" s="21"/>
    </row>
    <row r="826" ht="15.75" customHeight="1">
      <c r="C826" s="20"/>
      <c r="D826" s="20"/>
      <c r="E826" s="20"/>
      <c r="F826" s="21"/>
      <c r="G826" s="21"/>
    </row>
    <row r="827" ht="15.75" customHeight="1">
      <c r="C827" s="20"/>
      <c r="D827" s="20"/>
      <c r="E827" s="20"/>
      <c r="F827" s="21"/>
      <c r="G827" s="21"/>
    </row>
    <row r="828" ht="15.75" customHeight="1">
      <c r="C828" s="20"/>
      <c r="D828" s="20"/>
      <c r="E828" s="20"/>
      <c r="F828" s="21"/>
      <c r="G828" s="21"/>
    </row>
    <row r="829" ht="15.75" customHeight="1">
      <c r="C829" s="20"/>
      <c r="D829" s="20"/>
      <c r="E829" s="20"/>
      <c r="F829" s="21"/>
      <c r="G829" s="21"/>
    </row>
    <row r="830" ht="15.75" customHeight="1">
      <c r="C830" s="20"/>
      <c r="D830" s="20"/>
      <c r="E830" s="20"/>
      <c r="F830" s="21"/>
      <c r="G830" s="21"/>
    </row>
    <row r="831" ht="15.75" customHeight="1">
      <c r="C831" s="20"/>
      <c r="D831" s="20"/>
      <c r="E831" s="20"/>
      <c r="F831" s="21"/>
      <c r="G831" s="21"/>
    </row>
    <row r="832" ht="15.75" customHeight="1">
      <c r="C832" s="20"/>
      <c r="D832" s="20"/>
      <c r="E832" s="20"/>
      <c r="F832" s="21"/>
      <c r="G832" s="21"/>
    </row>
    <row r="833" ht="15.75" customHeight="1">
      <c r="C833" s="20"/>
      <c r="D833" s="20"/>
      <c r="E833" s="20"/>
      <c r="F833" s="21"/>
      <c r="G833" s="21"/>
    </row>
    <row r="834" ht="15.75" customHeight="1">
      <c r="C834" s="20"/>
      <c r="D834" s="20"/>
      <c r="E834" s="20"/>
      <c r="F834" s="21"/>
      <c r="G834" s="21"/>
    </row>
    <row r="835" ht="15.75" customHeight="1">
      <c r="C835" s="20"/>
      <c r="D835" s="20"/>
      <c r="E835" s="20"/>
      <c r="F835" s="21"/>
      <c r="G835" s="21"/>
    </row>
    <row r="836" ht="15.75" customHeight="1">
      <c r="C836" s="20"/>
      <c r="D836" s="20"/>
      <c r="E836" s="20"/>
      <c r="F836" s="21"/>
      <c r="G836" s="21"/>
    </row>
    <row r="837" ht="15.75" customHeight="1">
      <c r="C837" s="20"/>
      <c r="D837" s="20"/>
      <c r="E837" s="20"/>
      <c r="F837" s="21"/>
      <c r="G837" s="21"/>
    </row>
    <row r="838" ht="15.75" customHeight="1">
      <c r="C838" s="20"/>
      <c r="D838" s="20"/>
      <c r="E838" s="20"/>
      <c r="F838" s="21"/>
      <c r="G838" s="21"/>
    </row>
    <row r="839" ht="15.75" customHeight="1">
      <c r="C839" s="20"/>
      <c r="D839" s="20"/>
      <c r="E839" s="20"/>
      <c r="F839" s="21"/>
      <c r="G839" s="21"/>
    </row>
    <row r="840" ht="15.75" customHeight="1">
      <c r="C840" s="20"/>
      <c r="D840" s="20"/>
      <c r="E840" s="20"/>
      <c r="F840" s="21"/>
      <c r="G840" s="21"/>
    </row>
    <row r="841" ht="15.75" customHeight="1">
      <c r="C841" s="20"/>
      <c r="D841" s="20"/>
      <c r="E841" s="20"/>
      <c r="F841" s="21"/>
      <c r="G841" s="21"/>
    </row>
    <row r="842" ht="15.75" customHeight="1">
      <c r="C842" s="20"/>
      <c r="D842" s="20"/>
      <c r="E842" s="20"/>
      <c r="F842" s="21"/>
      <c r="G842" s="21"/>
    </row>
    <row r="843" ht="15.75" customHeight="1">
      <c r="C843" s="20"/>
      <c r="D843" s="20"/>
      <c r="E843" s="20"/>
      <c r="F843" s="21"/>
      <c r="G843" s="21"/>
    </row>
    <row r="844" ht="15.75" customHeight="1">
      <c r="C844" s="20"/>
      <c r="D844" s="20"/>
      <c r="E844" s="20"/>
      <c r="F844" s="21"/>
      <c r="G844" s="21"/>
    </row>
    <row r="845" ht="15.75" customHeight="1">
      <c r="C845" s="20"/>
      <c r="D845" s="20"/>
      <c r="E845" s="20"/>
      <c r="F845" s="21"/>
      <c r="G845" s="21"/>
    </row>
    <row r="846" ht="15.75" customHeight="1">
      <c r="C846" s="20"/>
      <c r="D846" s="20"/>
      <c r="E846" s="20"/>
      <c r="F846" s="21"/>
      <c r="G846" s="21"/>
    </row>
    <row r="847" ht="15.75" customHeight="1">
      <c r="C847" s="20"/>
      <c r="D847" s="20"/>
      <c r="E847" s="20"/>
      <c r="F847" s="21"/>
      <c r="G847" s="21"/>
    </row>
    <row r="848" ht="15.75" customHeight="1">
      <c r="C848" s="20"/>
      <c r="D848" s="20"/>
      <c r="E848" s="20"/>
      <c r="F848" s="21"/>
      <c r="G848" s="21"/>
    </row>
    <row r="849" ht="15.75" customHeight="1">
      <c r="C849" s="20"/>
      <c r="D849" s="20"/>
      <c r="E849" s="20"/>
      <c r="F849" s="21"/>
      <c r="G849" s="21"/>
    </row>
    <row r="850" ht="15.75" customHeight="1">
      <c r="C850" s="20"/>
      <c r="D850" s="20"/>
      <c r="E850" s="20"/>
      <c r="F850" s="21"/>
      <c r="G850" s="21"/>
    </row>
    <row r="851" ht="15.75" customHeight="1">
      <c r="C851" s="20"/>
      <c r="D851" s="20"/>
      <c r="E851" s="20"/>
      <c r="F851" s="21"/>
      <c r="G851" s="21"/>
    </row>
    <row r="852" ht="15.75" customHeight="1">
      <c r="C852" s="20"/>
      <c r="D852" s="20"/>
      <c r="E852" s="20"/>
      <c r="F852" s="21"/>
      <c r="G852" s="21"/>
    </row>
    <row r="853" ht="15.75" customHeight="1">
      <c r="C853" s="20"/>
      <c r="D853" s="20"/>
      <c r="E853" s="20"/>
      <c r="F853" s="21"/>
      <c r="G853" s="21"/>
    </row>
    <row r="854" ht="15.75" customHeight="1">
      <c r="C854" s="20"/>
      <c r="D854" s="20"/>
      <c r="E854" s="20"/>
      <c r="F854" s="21"/>
      <c r="G854" s="21"/>
    </row>
    <row r="855" ht="15.75" customHeight="1">
      <c r="C855" s="20"/>
      <c r="D855" s="20"/>
      <c r="E855" s="20"/>
      <c r="F855" s="21"/>
      <c r="G855" s="21"/>
    </row>
    <row r="856" ht="15.75" customHeight="1">
      <c r="C856" s="20"/>
      <c r="D856" s="20"/>
      <c r="E856" s="20"/>
      <c r="F856" s="21"/>
      <c r="G856" s="21"/>
    </row>
    <row r="857" ht="15.75" customHeight="1">
      <c r="C857" s="20"/>
      <c r="D857" s="20"/>
      <c r="E857" s="20"/>
      <c r="F857" s="21"/>
      <c r="G857" s="21"/>
    </row>
    <row r="858" ht="15.75" customHeight="1">
      <c r="C858" s="20"/>
      <c r="D858" s="20"/>
      <c r="E858" s="20"/>
      <c r="F858" s="21"/>
      <c r="G858" s="21"/>
    </row>
    <row r="859" ht="15.75" customHeight="1">
      <c r="C859" s="20"/>
      <c r="D859" s="20"/>
      <c r="E859" s="20"/>
      <c r="F859" s="21"/>
      <c r="G859" s="21"/>
    </row>
    <row r="860" ht="15.75" customHeight="1">
      <c r="C860" s="20"/>
      <c r="D860" s="20"/>
      <c r="E860" s="20"/>
      <c r="F860" s="21"/>
      <c r="G860" s="21"/>
    </row>
    <row r="861" ht="15.75" customHeight="1">
      <c r="C861" s="20"/>
      <c r="D861" s="20"/>
      <c r="E861" s="20"/>
      <c r="F861" s="21"/>
      <c r="G861" s="21"/>
    </row>
    <row r="862" ht="15.75" customHeight="1">
      <c r="C862" s="20"/>
      <c r="D862" s="20"/>
      <c r="E862" s="20"/>
      <c r="F862" s="21"/>
      <c r="G862" s="21"/>
    </row>
    <row r="863" ht="15.75" customHeight="1">
      <c r="C863" s="20"/>
      <c r="D863" s="20"/>
      <c r="E863" s="20"/>
      <c r="F863" s="21"/>
      <c r="G863" s="21"/>
    </row>
    <row r="864" ht="15.75" customHeight="1">
      <c r="C864" s="20"/>
      <c r="D864" s="20"/>
      <c r="E864" s="20"/>
      <c r="F864" s="21"/>
      <c r="G864" s="21"/>
    </row>
    <row r="865" ht="15.75" customHeight="1">
      <c r="C865" s="20"/>
      <c r="D865" s="20"/>
      <c r="E865" s="20"/>
      <c r="F865" s="21"/>
      <c r="G865" s="21"/>
    </row>
    <row r="866" ht="15.75" customHeight="1">
      <c r="C866" s="20"/>
      <c r="D866" s="20"/>
      <c r="E866" s="20"/>
      <c r="F866" s="21"/>
      <c r="G866" s="21"/>
    </row>
    <row r="867" ht="15.75" customHeight="1">
      <c r="C867" s="20"/>
      <c r="D867" s="20"/>
      <c r="E867" s="20"/>
      <c r="F867" s="21"/>
      <c r="G867" s="21"/>
    </row>
    <row r="868" ht="15.75" customHeight="1">
      <c r="C868" s="20"/>
      <c r="D868" s="20"/>
      <c r="E868" s="20"/>
      <c r="F868" s="21"/>
      <c r="G868" s="21"/>
    </row>
    <row r="869" ht="15.75" customHeight="1">
      <c r="C869" s="20"/>
      <c r="D869" s="20"/>
      <c r="E869" s="20"/>
      <c r="F869" s="21"/>
      <c r="G869" s="21"/>
    </row>
    <row r="870" ht="15.75" customHeight="1">
      <c r="C870" s="20"/>
      <c r="D870" s="20"/>
      <c r="E870" s="20"/>
      <c r="F870" s="21"/>
      <c r="G870" s="21"/>
    </row>
    <row r="871" ht="15.75" customHeight="1">
      <c r="C871" s="20"/>
      <c r="D871" s="20"/>
      <c r="E871" s="20"/>
      <c r="F871" s="21"/>
      <c r="G871" s="21"/>
    </row>
    <row r="872" ht="15.75" customHeight="1">
      <c r="C872" s="20"/>
      <c r="D872" s="20"/>
      <c r="E872" s="20"/>
      <c r="F872" s="21"/>
      <c r="G872" s="21"/>
    </row>
    <row r="873" ht="15.75" customHeight="1">
      <c r="C873" s="20"/>
      <c r="D873" s="20"/>
      <c r="E873" s="20"/>
      <c r="F873" s="21"/>
      <c r="G873" s="21"/>
    </row>
    <row r="874" ht="15.75" customHeight="1">
      <c r="C874" s="20"/>
      <c r="D874" s="20"/>
      <c r="E874" s="20"/>
      <c r="F874" s="21"/>
      <c r="G874" s="21"/>
    </row>
    <row r="875" ht="15.75" customHeight="1">
      <c r="C875" s="20"/>
      <c r="D875" s="20"/>
      <c r="E875" s="20"/>
      <c r="F875" s="21"/>
      <c r="G875" s="21"/>
    </row>
    <row r="876" ht="15.75" customHeight="1">
      <c r="C876" s="20"/>
      <c r="D876" s="20"/>
      <c r="E876" s="20"/>
      <c r="F876" s="21"/>
      <c r="G876" s="21"/>
    </row>
    <row r="877" ht="15.75" customHeight="1">
      <c r="C877" s="20"/>
      <c r="D877" s="20"/>
      <c r="E877" s="20"/>
      <c r="F877" s="21"/>
      <c r="G877" s="21"/>
    </row>
    <row r="878" ht="15.75" customHeight="1">
      <c r="C878" s="20"/>
      <c r="D878" s="20"/>
      <c r="E878" s="20"/>
      <c r="F878" s="21"/>
      <c r="G878" s="21"/>
    </row>
    <row r="879" ht="15.75" customHeight="1">
      <c r="C879" s="20"/>
      <c r="D879" s="20"/>
      <c r="E879" s="20"/>
      <c r="F879" s="21"/>
      <c r="G879" s="21"/>
    </row>
    <row r="880" ht="15.75" customHeight="1">
      <c r="C880" s="20"/>
      <c r="D880" s="20"/>
      <c r="E880" s="20"/>
      <c r="F880" s="21"/>
      <c r="G880" s="21"/>
    </row>
    <row r="881" ht="15.75" customHeight="1">
      <c r="C881" s="20"/>
      <c r="D881" s="20"/>
      <c r="E881" s="20"/>
      <c r="F881" s="21"/>
      <c r="G881" s="21"/>
    </row>
    <row r="882" ht="15.75" customHeight="1">
      <c r="C882" s="20"/>
      <c r="D882" s="20"/>
      <c r="E882" s="20"/>
      <c r="F882" s="21"/>
      <c r="G882" s="21"/>
    </row>
    <row r="883" ht="15.75" customHeight="1">
      <c r="C883" s="20"/>
      <c r="D883" s="20"/>
      <c r="E883" s="20"/>
      <c r="F883" s="21"/>
      <c r="G883" s="21"/>
    </row>
    <row r="884" ht="15.75" customHeight="1">
      <c r="C884" s="20"/>
      <c r="D884" s="20"/>
      <c r="E884" s="20"/>
      <c r="F884" s="21"/>
      <c r="G884" s="21"/>
    </row>
    <row r="885" ht="15.75" customHeight="1">
      <c r="C885" s="20"/>
      <c r="D885" s="20"/>
      <c r="E885" s="20"/>
      <c r="F885" s="21"/>
      <c r="G885" s="21"/>
    </row>
    <row r="886" ht="15.75" customHeight="1">
      <c r="C886" s="20"/>
      <c r="D886" s="20"/>
      <c r="E886" s="20"/>
      <c r="F886" s="21"/>
      <c r="G886" s="21"/>
    </row>
    <row r="887" ht="15.75" customHeight="1">
      <c r="C887" s="20"/>
      <c r="D887" s="20"/>
      <c r="E887" s="20"/>
      <c r="F887" s="21"/>
      <c r="G887" s="21"/>
    </row>
    <row r="888" ht="15.75" customHeight="1">
      <c r="C888" s="20"/>
      <c r="D888" s="20"/>
      <c r="E888" s="20"/>
      <c r="F888" s="21"/>
      <c r="G888" s="21"/>
    </row>
    <row r="889" ht="15.75" customHeight="1">
      <c r="C889" s="20"/>
      <c r="D889" s="20"/>
      <c r="E889" s="20"/>
      <c r="F889" s="21"/>
      <c r="G889" s="21"/>
    </row>
    <row r="890" ht="15.75" customHeight="1">
      <c r="C890" s="20"/>
      <c r="D890" s="20"/>
      <c r="E890" s="20"/>
      <c r="F890" s="21"/>
      <c r="G890" s="21"/>
    </row>
    <row r="891" ht="15.75" customHeight="1">
      <c r="C891" s="20"/>
      <c r="D891" s="20"/>
      <c r="E891" s="20"/>
      <c r="F891" s="21"/>
      <c r="G891" s="21"/>
    </row>
    <row r="892" ht="15.75" customHeight="1">
      <c r="C892" s="20"/>
      <c r="D892" s="20"/>
      <c r="E892" s="20"/>
      <c r="F892" s="21"/>
      <c r="G892" s="21"/>
    </row>
    <row r="893" ht="15.75" customHeight="1">
      <c r="C893" s="20"/>
      <c r="D893" s="20"/>
      <c r="E893" s="20"/>
      <c r="F893" s="21"/>
      <c r="G893" s="21"/>
    </row>
    <row r="894" ht="15.75" customHeight="1">
      <c r="C894" s="20"/>
      <c r="D894" s="20"/>
      <c r="E894" s="20"/>
      <c r="F894" s="21"/>
      <c r="G894" s="21"/>
    </row>
    <row r="895" ht="15.75" customHeight="1">
      <c r="C895" s="20"/>
      <c r="D895" s="20"/>
      <c r="E895" s="20"/>
      <c r="F895" s="21"/>
      <c r="G895" s="21"/>
    </row>
    <row r="896" ht="15.75" customHeight="1">
      <c r="C896" s="20"/>
      <c r="D896" s="20"/>
      <c r="E896" s="20"/>
      <c r="F896" s="21"/>
      <c r="G896" s="21"/>
    </row>
    <row r="897" ht="15.75" customHeight="1">
      <c r="C897" s="20"/>
      <c r="D897" s="20"/>
      <c r="E897" s="20"/>
      <c r="F897" s="21"/>
      <c r="G897" s="21"/>
    </row>
    <row r="898" ht="15.75" customHeight="1">
      <c r="C898" s="20"/>
      <c r="D898" s="20"/>
      <c r="E898" s="20"/>
      <c r="F898" s="21"/>
      <c r="G898" s="21"/>
    </row>
    <row r="899" ht="15.75" customHeight="1">
      <c r="C899" s="20"/>
      <c r="D899" s="20"/>
      <c r="E899" s="20"/>
      <c r="F899" s="21"/>
      <c r="G899" s="21"/>
    </row>
    <row r="900" ht="15.75" customHeight="1">
      <c r="C900" s="20"/>
      <c r="D900" s="20"/>
      <c r="E900" s="20"/>
      <c r="F900" s="21"/>
      <c r="G900" s="21"/>
    </row>
    <row r="901" ht="15.75" customHeight="1">
      <c r="C901" s="20"/>
      <c r="D901" s="20"/>
      <c r="E901" s="20"/>
      <c r="F901" s="21"/>
      <c r="G901" s="21"/>
    </row>
    <row r="902" ht="15.75" customHeight="1">
      <c r="C902" s="20"/>
      <c r="D902" s="20"/>
      <c r="E902" s="20"/>
      <c r="F902" s="21"/>
      <c r="G902" s="21"/>
    </row>
    <row r="903" ht="15.75" customHeight="1">
      <c r="C903" s="20"/>
      <c r="D903" s="20"/>
      <c r="E903" s="20"/>
      <c r="F903" s="21"/>
      <c r="G903" s="21"/>
    </row>
    <row r="904" ht="15.75" customHeight="1">
      <c r="C904" s="20"/>
      <c r="D904" s="20"/>
      <c r="E904" s="20"/>
      <c r="F904" s="21"/>
      <c r="G904" s="21"/>
    </row>
    <row r="905" ht="15.75" customHeight="1">
      <c r="C905" s="20"/>
      <c r="D905" s="20"/>
      <c r="E905" s="20"/>
      <c r="F905" s="21"/>
      <c r="G905" s="21"/>
    </row>
    <row r="906" ht="15.75" customHeight="1">
      <c r="C906" s="20"/>
      <c r="D906" s="20"/>
      <c r="E906" s="20"/>
      <c r="F906" s="21"/>
      <c r="G906" s="21"/>
    </row>
    <row r="907" ht="15.75" customHeight="1">
      <c r="C907" s="20"/>
      <c r="D907" s="20"/>
      <c r="E907" s="20"/>
      <c r="F907" s="21"/>
      <c r="G907" s="21"/>
    </row>
    <row r="908" ht="15.75" customHeight="1">
      <c r="C908" s="20"/>
      <c r="D908" s="20"/>
      <c r="E908" s="20"/>
      <c r="F908" s="21"/>
      <c r="G908" s="21"/>
    </row>
    <row r="909" ht="15.75" customHeight="1">
      <c r="C909" s="20"/>
      <c r="D909" s="20"/>
      <c r="E909" s="20"/>
      <c r="F909" s="21"/>
      <c r="G909" s="21"/>
    </row>
    <row r="910" ht="15.75" customHeight="1">
      <c r="C910" s="20"/>
      <c r="D910" s="20"/>
      <c r="E910" s="20"/>
      <c r="F910" s="21"/>
      <c r="G910" s="21"/>
    </row>
    <row r="911" ht="15.75" customHeight="1">
      <c r="C911" s="20"/>
      <c r="D911" s="20"/>
      <c r="E911" s="20"/>
      <c r="F911" s="21"/>
      <c r="G911" s="21"/>
    </row>
    <row r="912" ht="15.75" customHeight="1">
      <c r="C912" s="20"/>
      <c r="D912" s="20"/>
      <c r="E912" s="20"/>
      <c r="F912" s="21"/>
      <c r="G912" s="21"/>
    </row>
    <row r="913" ht="15.75" customHeight="1">
      <c r="C913" s="20"/>
      <c r="D913" s="20"/>
      <c r="E913" s="20"/>
      <c r="F913" s="21"/>
      <c r="G913" s="21"/>
    </row>
    <row r="914" ht="15.75" customHeight="1">
      <c r="C914" s="20"/>
      <c r="D914" s="20"/>
      <c r="E914" s="20"/>
      <c r="F914" s="21"/>
      <c r="G914" s="21"/>
    </row>
    <row r="915" ht="15.75" customHeight="1">
      <c r="C915" s="20"/>
      <c r="D915" s="20"/>
      <c r="E915" s="20"/>
      <c r="F915" s="21"/>
      <c r="G915" s="21"/>
    </row>
    <row r="916" ht="15.75" customHeight="1">
      <c r="C916" s="20"/>
      <c r="D916" s="20"/>
      <c r="E916" s="20"/>
      <c r="F916" s="21"/>
      <c r="G916" s="21"/>
    </row>
    <row r="917" ht="15.75" customHeight="1">
      <c r="C917" s="20"/>
      <c r="D917" s="20"/>
      <c r="E917" s="20"/>
      <c r="F917" s="21"/>
      <c r="G917" s="21"/>
    </row>
    <row r="918" ht="15.75" customHeight="1">
      <c r="C918" s="20"/>
      <c r="D918" s="20"/>
      <c r="E918" s="20"/>
      <c r="F918" s="21"/>
      <c r="G918" s="21"/>
    </row>
    <row r="919" ht="15.75" customHeight="1">
      <c r="C919" s="20"/>
      <c r="D919" s="20"/>
      <c r="E919" s="20"/>
      <c r="F919" s="21"/>
      <c r="G919" s="21"/>
    </row>
    <row r="920" ht="15.75" customHeight="1">
      <c r="C920" s="20"/>
      <c r="D920" s="20"/>
      <c r="E920" s="20"/>
      <c r="F920" s="21"/>
      <c r="G920" s="21"/>
    </row>
    <row r="921" ht="15.75" customHeight="1">
      <c r="C921" s="20"/>
      <c r="D921" s="20"/>
      <c r="E921" s="20"/>
      <c r="F921" s="21"/>
      <c r="G921" s="21"/>
    </row>
    <row r="922" ht="15.75" customHeight="1">
      <c r="C922" s="20"/>
      <c r="D922" s="20"/>
      <c r="E922" s="20"/>
      <c r="F922" s="21"/>
      <c r="G922" s="21"/>
    </row>
    <row r="923" ht="15.75" customHeight="1">
      <c r="C923" s="20"/>
      <c r="D923" s="20"/>
      <c r="E923" s="20"/>
      <c r="F923" s="21"/>
      <c r="G923" s="21"/>
    </row>
    <row r="924" ht="15.75" customHeight="1">
      <c r="C924" s="20"/>
      <c r="D924" s="20"/>
      <c r="E924" s="20"/>
      <c r="F924" s="21"/>
      <c r="G924" s="21"/>
    </row>
    <row r="925" ht="15.75" customHeight="1">
      <c r="C925" s="20"/>
      <c r="D925" s="20"/>
      <c r="E925" s="20"/>
      <c r="F925" s="21"/>
      <c r="G925" s="21"/>
    </row>
    <row r="926" ht="15.75" customHeight="1">
      <c r="C926" s="20"/>
      <c r="D926" s="20"/>
      <c r="E926" s="20"/>
      <c r="F926" s="21"/>
      <c r="G926" s="21"/>
    </row>
    <row r="927" ht="15.75" customHeight="1">
      <c r="C927" s="20"/>
      <c r="D927" s="20"/>
      <c r="E927" s="20"/>
      <c r="F927" s="21"/>
      <c r="G927" s="21"/>
    </row>
    <row r="928" ht="15.75" customHeight="1">
      <c r="C928" s="20"/>
      <c r="D928" s="20"/>
      <c r="E928" s="20"/>
      <c r="F928" s="21"/>
      <c r="G928" s="21"/>
    </row>
    <row r="929" ht="15.75" customHeight="1">
      <c r="C929" s="20"/>
      <c r="D929" s="20"/>
      <c r="E929" s="20"/>
      <c r="F929" s="21"/>
      <c r="G929" s="21"/>
    </row>
    <row r="930" ht="15.75" customHeight="1">
      <c r="C930" s="20"/>
      <c r="D930" s="20"/>
      <c r="E930" s="20"/>
      <c r="F930" s="21"/>
      <c r="G930" s="21"/>
    </row>
    <row r="931" ht="15.75" customHeight="1">
      <c r="C931" s="20"/>
      <c r="D931" s="20"/>
      <c r="E931" s="20"/>
      <c r="F931" s="21"/>
      <c r="G931" s="21"/>
    </row>
    <row r="932" ht="15.75" customHeight="1">
      <c r="C932" s="20"/>
      <c r="D932" s="20"/>
      <c r="E932" s="20"/>
      <c r="F932" s="21"/>
      <c r="G932" s="21"/>
    </row>
    <row r="933" ht="15.75" customHeight="1">
      <c r="C933" s="20"/>
      <c r="D933" s="20"/>
      <c r="E933" s="20"/>
      <c r="F933" s="21"/>
      <c r="G933" s="21"/>
    </row>
    <row r="934" ht="15.75" customHeight="1">
      <c r="C934" s="20"/>
      <c r="D934" s="20"/>
      <c r="E934" s="20"/>
      <c r="F934" s="21"/>
      <c r="G934" s="21"/>
    </row>
    <row r="935" ht="15.75" customHeight="1">
      <c r="C935" s="20"/>
      <c r="D935" s="20"/>
      <c r="E935" s="20"/>
      <c r="F935" s="21"/>
      <c r="G935" s="21"/>
    </row>
    <row r="936" ht="15.75" customHeight="1">
      <c r="C936" s="20"/>
      <c r="D936" s="20"/>
      <c r="E936" s="20"/>
      <c r="F936" s="21"/>
      <c r="G936" s="21"/>
    </row>
    <row r="937" ht="15.75" customHeight="1">
      <c r="C937" s="20"/>
      <c r="D937" s="20"/>
      <c r="E937" s="20"/>
      <c r="F937" s="21"/>
      <c r="G937" s="21"/>
    </row>
    <row r="938" ht="15.75" customHeight="1">
      <c r="C938" s="20"/>
      <c r="D938" s="20"/>
      <c r="E938" s="20"/>
      <c r="F938" s="21"/>
      <c r="G938" s="21"/>
    </row>
    <row r="939" ht="15.75" customHeight="1">
      <c r="C939" s="20"/>
      <c r="D939" s="20"/>
      <c r="E939" s="20"/>
      <c r="F939" s="21"/>
      <c r="G939" s="21"/>
    </row>
    <row r="940" ht="15.75" customHeight="1">
      <c r="C940" s="20"/>
      <c r="D940" s="20"/>
      <c r="E940" s="20"/>
      <c r="F940" s="21"/>
      <c r="G940" s="21"/>
    </row>
    <row r="941" ht="15.75" customHeight="1">
      <c r="C941" s="20"/>
      <c r="D941" s="20"/>
      <c r="E941" s="20"/>
      <c r="F941" s="21"/>
      <c r="G941" s="21"/>
    </row>
    <row r="942" ht="15.75" customHeight="1">
      <c r="C942" s="20"/>
      <c r="D942" s="20"/>
      <c r="E942" s="20"/>
      <c r="F942" s="21"/>
      <c r="G942" s="21"/>
    </row>
    <row r="943" ht="15.75" customHeight="1">
      <c r="C943" s="20"/>
      <c r="D943" s="20"/>
      <c r="E943" s="20"/>
      <c r="F943" s="21"/>
      <c r="G943" s="21"/>
    </row>
    <row r="944" ht="15.75" customHeight="1">
      <c r="C944" s="20"/>
      <c r="D944" s="20"/>
      <c r="E944" s="20"/>
      <c r="F944" s="21"/>
      <c r="G944" s="21"/>
    </row>
    <row r="945" ht="15.75" customHeight="1">
      <c r="C945" s="20"/>
      <c r="D945" s="20"/>
      <c r="E945" s="20"/>
      <c r="F945" s="21"/>
      <c r="G945" s="21"/>
    </row>
    <row r="946" ht="15.75" customHeight="1">
      <c r="C946" s="20"/>
      <c r="D946" s="20"/>
      <c r="E946" s="20"/>
      <c r="F946" s="21"/>
      <c r="G946" s="21"/>
    </row>
    <row r="947" ht="15.75" customHeight="1">
      <c r="C947" s="20"/>
      <c r="D947" s="20"/>
      <c r="E947" s="20"/>
      <c r="F947" s="21"/>
      <c r="G947" s="21"/>
    </row>
    <row r="948" ht="15.75" customHeight="1">
      <c r="C948" s="20"/>
      <c r="D948" s="20"/>
      <c r="E948" s="20"/>
      <c r="F948" s="21"/>
      <c r="G948" s="21"/>
    </row>
    <row r="949" ht="15.75" customHeight="1">
      <c r="C949" s="20"/>
      <c r="D949" s="20"/>
      <c r="E949" s="20"/>
      <c r="F949" s="21"/>
      <c r="G949" s="21"/>
    </row>
    <row r="950" ht="15.75" customHeight="1">
      <c r="C950" s="20"/>
      <c r="D950" s="20"/>
      <c r="E950" s="20"/>
      <c r="F950" s="21"/>
      <c r="G950" s="21"/>
    </row>
    <row r="951" ht="15.75" customHeight="1">
      <c r="C951" s="20"/>
      <c r="D951" s="20"/>
      <c r="E951" s="20"/>
      <c r="F951" s="21"/>
      <c r="G951" s="21"/>
    </row>
    <row r="952" ht="15.75" customHeight="1">
      <c r="C952" s="20"/>
      <c r="D952" s="20"/>
      <c r="E952" s="20"/>
      <c r="F952" s="21"/>
      <c r="G952" s="21"/>
    </row>
    <row r="953" ht="15.75" customHeight="1">
      <c r="C953" s="20"/>
      <c r="D953" s="20"/>
      <c r="E953" s="20"/>
      <c r="F953" s="21"/>
      <c r="G953" s="21"/>
    </row>
    <row r="954" ht="15.75" customHeight="1">
      <c r="C954" s="20"/>
      <c r="D954" s="20"/>
      <c r="E954" s="20"/>
      <c r="F954" s="21"/>
      <c r="G954" s="21"/>
    </row>
    <row r="955" ht="15.75" customHeight="1">
      <c r="C955" s="20"/>
      <c r="D955" s="20"/>
      <c r="E955" s="20"/>
      <c r="F955" s="21"/>
      <c r="G955" s="21"/>
    </row>
    <row r="956" ht="15.75" customHeight="1">
      <c r="C956" s="20"/>
      <c r="D956" s="20"/>
      <c r="E956" s="20"/>
      <c r="F956" s="21"/>
      <c r="G956" s="21"/>
    </row>
    <row r="957" ht="15.75" customHeight="1">
      <c r="C957" s="20"/>
      <c r="D957" s="20"/>
      <c r="E957" s="20"/>
      <c r="F957" s="21"/>
      <c r="G957" s="21"/>
    </row>
    <row r="958" ht="15.75" customHeight="1">
      <c r="C958" s="20"/>
      <c r="D958" s="20"/>
      <c r="E958" s="20"/>
      <c r="F958" s="21"/>
      <c r="G958" s="21"/>
    </row>
    <row r="959" ht="15.75" customHeight="1">
      <c r="C959" s="20"/>
      <c r="D959" s="20"/>
      <c r="E959" s="20"/>
      <c r="F959" s="21"/>
      <c r="G959" s="21"/>
    </row>
    <row r="960" ht="15.75" customHeight="1">
      <c r="C960" s="20"/>
      <c r="D960" s="20"/>
      <c r="E960" s="20"/>
      <c r="F960" s="21"/>
      <c r="G960" s="21"/>
    </row>
    <row r="961" ht="15.75" customHeight="1">
      <c r="C961" s="20"/>
      <c r="D961" s="20"/>
      <c r="E961" s="20"/>
      <c r="F961" s="21"/>
      <c r="G961" s="21"/>
    </row>
    <row r="962" ht="15.75" customHeight="1">
      <c r="C962" s="20"/>
      <c r="D962" s="20"/>
      <c r="E962" s="20"/>
      <c r="F962" s="21"/>
      <c r="G962" s="21"/>
    </row>
    <row r="963" ht="15.75" customHeight="1">
      <c r="C963" s="20"/>
      <c r="D963" s="20"/>
      <c r="E963" s="20"/>
      <c r="F963" s="21"/>
      <c r="G963" s="21"/>
    </row>
    <row r="964" ht="15.75" customHeight="1">
      <c r="C964" s="20"/>
      <c r="D964" s="20"/>
      <c r="E964" s="20"/>
      <c r="F964" s="21"/>
      <c r="G964" s="21"/>
    </row>
    <row r="965" ht="15.75" customHeight="1">
      <c r="C965" s="20"/>
      <c r="D965" s="20"/>
      <c r="E965" s="20"/>
      <c r="F965" s="21"/>
      <c r="G965" s="21"/>
    </row>
    <row r="966" ht="15.75" customHeight="1">
      <c r="C966" s="20"/>
      <c r="D966" s="20"/>
      <c r="E966" s="20"/>
      <c r="F966" s="21"/>
      <c r="G966" s="21"/>
    </row>
    <row r="967" ht="15.75" customHeight="1">
      <c r="C967" s="20"/>
      <c r="D967" s="20"/>
      <c r="E967" s="20"/>
      <c r="F967" s="21"/>
      <c r="G967" s="21"/>
    </row>
    <row r="968" ht="15.75" customHeight="1">
      <c r="C968" s="20"/>
      <c r="D968" s="20"/>
      <c r="E968" s="20"/>
      <c r="F968" s="21"/>
      <c r="G968" s="21"/>
    </row>
    <row r="969" ht="15.75" customHeight="1">
      <c r="C969" s="20"/>
      <c r="D969" s="20"/>
      <c r="E969" s="20"/>
      <c r="F969" s="21"/>
      <c r="G969" s="21"/>
    </row>
    <row r="970" ht="15.75" customHeight="1">
      <c r="C970" s="20"/>
      <c r="D970" s="20"/>
      <c r="E970" s="20"/>
      <c r="F970" s="21"/>
      <c r="G970" s="21"/>
    </row>
    <row r="971" ht="15.75" customHeight="1">
      <c r="C971" s="20"/>
      <c r="D971" s="20"/>
      <c r="E971" s="20"/>
      <c r="F971" s="21"/>
      <c r="G971" s="21"/>
    </row>
    <row r="972" ht="15.75" customHeight="1">
      <c r="C972" s="20"/>
      <c r="D972" s="20"/>
      <c r="E972" s="20"/>
      <c r="F972" s="21"/>
      <c r="G972" s="21"/>
    </row>
    <row r="973" ht="15.75" customHeight="1">
      <c r="C973" s="20"/>
      <c r="D973" s="20"/>
      <c r="E973" s="20"/>
      <c r="F973" s="21"/>
      <c r="G973" s="21"/>
    </row>
    <row r="974" ht="15.75" customHeight="1">
      <c r="C974" s="20"/>
      <c r="D974" s="20"/>
      <c r="E974" s="20"/>
      <c r="F974" s="21"/>
      <c r="G974" s="21"/>
    </row>
    <row r="975" ht="15.75" customHeight="1">
      <c r="C975" s="20"/>
      <c r="D975" s="20"/>
      <c r="E975" s="20"/>
      <c r="F975" s="21"/>
      <c r="G975" s="21"/>
    </row>
    <row r="976" ht="15.75" customHeight="1">
      <c r="C976" s="20"/>
      <c r="D976" s="20"/>
      <c r="E976" s="20"/>
      <c r="F976" s="21"/>
      <c r="G976" s="21"/>
    </row>
    <row r="977" ht="15.75" customHeight="1">
      <c r="C977" s="20"/>
      <c r="D977" s="20"/>
      <c r="E977" s="20"/>
      <c r="F977" s="21"/>
      <c r="G977" s="21"/>
    </row>
    <row r="978" ht="15.75" customHeight="1">
      <c r="C978" s="20"/>
      <c r="D978" s="20"/>
      <c r="E978" s="20"/>
      <c r="F978" s="21"/>
      <c r="G978" s="21"/>
    </row>
    <row r="979" ht="15.75" customHeight="1">
      <c r="C979" s="20"/>
      <c r="D979" s="20"/>
      <c r="E979" s="20"/>
      <c r="F979" s="21"/>
      <c r="G979" s="21"/>
    </row>
    <row r="980" ht="15.75" customHeight="1">
      <c r="C980" s="20"/>
      <c r="D980" s="20"/>
      <c r="E980" s="20"/>
      <c r="F980" s="21"/>
      <c r="G980" s="21"/>
    </row>
    <row r="981" ht="15.75" customHeight="1">
      <c r="C981" s="20"/>
      <c r="D981" s="20"/>
      <c r="E981" s="20"/>
      <c r="F981" s="21"/>
      <c r="G981" s="21"/>
    </row>
    <row r="982" ht="15.75" customHeight="1">
      <c r="C982" s="20"/>
      <c r="D982" s="20"/>
      <c r="E982" s="20"/>
      <c r="F982" s="21"/>
      <c r="G982" s="21"/>
    </row>
    <row r="983" ht="15.75" customHeight="1">
      <c r="C983" s="20"/>
      <c r="D983" s="20"/>
      <c r="E983" s="20"/>
      <c r="F983" s="21"/>
      <c r="G983" s="21"/>
    </row>
    <row r="984" ht="15.75" customHeight="1">
      <c r="C984" s="20"/>
      <c r="D984" s="20"/>
      <c r="E984" s="20"/>
      <c r="F984" s="21"/>
      <c r="G984" s="21"/>
    </row>
    <row r="985" ht="15.75" customHeight="1">
      <c r="C985" s="20"/>
      <c r="D985" s="20"/>
      <c r="E985" s="20"/>
      <c r="F985" s="21"/>
      <c r="G985" s="21"/>
    </row>
    <row r="986" ht="15.75" customHeight="1">
      <c r="C986" s="20"/>
      <c r="D986" s="20"/>
      <c r="E986" s="20"/>
      <c r="F986" s="21"/>
      <c r="G986" s="21"/>
    </row>
    <row r="987" ht="15.75" customHeight="1">
      <c r="C987" s="20"/>
      <c r="D987" s="20"/>
      <c r="E987" s="20"/>
      <c r="F987" s="21"/>
      <c r="G987" s="21"/>
    </row>
    <row r="988" ht="15.75" customHeight="1">
      <c r="C988" s="20"/>
      <c r="D988" s="20"/>
      <c r="E988" s="20"/>
      <c r="F988" s="21"/>
      <c r="G988" s="21"/>
    </row>
    <row r="989" ht="15.75" customHeight="1">
      <c r="C989" s="20"/>
      <c r="D989" s="20"/>
      <c r="E989" s="20"/>
      <c r="F989" s="21"/>
      <c r="G989" s="21"/>
    </row>
    <row r="990" ht="15.75" customHeight="1">
      <c r="C990" s="20"/>
      <c r="D990" s="20"/>
      <c r="E990" s="20"/>
      <c r="F990" s="21"/>
      <c r="G990" s="21"/>
    </row>
    <row r="991" ht="15.75" customHeight="1">
      <c r="C991" s="20"/>
      <c r="D991" s="20"/>
      <c r="E991" s="20"/>
      <c r="F991" s="21"/>
      <c r="G991" s="21"/>
    </row>
    <row r="992" ht="15.75" customHeight="1">
      <c r="C992" s="20"/>
      <c r="D992" s="20"/>
      <c r="E992" s="20"/>
      <c r="F992" s="21"/>
      <c r="G992" s="21"/>
    </row>
    <row r="993" ht="15.75" customHeight="1">
      <c r="C993" s="20"/>
      <c r="D993" s="20"/>
      <c r="E993" s="20"/>
      <c r="F993" s="21"/>
      <c r="G993" s="21"/>
    </row>
    <row r="994" ht="15.75" customHeight="1">
      <c r="C994" s="20"/>
      <c r="D994" s="20"/>
      <c r="E994" s="20"/>
      <c r="F994" s="21"/>
      <c r="G994" s="21"/>
    </row>
    <row r="995" ht="15.75" customHeight="1">
      <c r="C995" s="20"/>
      <c r="D995" s="20"/>
      <c r="E995" s="20"/>
      <c r="F995" s="21"/>
      <c r="G995" s="21"/>
    </row>
    <row r="996" ht="15.75" customHeight="1">
      <c r="C996" s="20"/>
      <c r="D996" s="20"/>
      <c r="E996" s="20"/>
      <c r="F996" s="21"/>
      <c r="G996" s="21"/>
    </row>
    <row r="997" ht="15.75" customHeight="1">
      <c r="C997" s="20"/>
      <c r="D997" s="20"/>
      <c r="E997" s="20"/>
      <c r="F997" s="21"/>
      <c r="G997" s="21"/>
    </row>
    <row r="998" ht="15.75" customHeight="1">
      <c r="C998" s="20"/>
      <c r="D998" s="20"/>
      <c r="E998" s="20"/>
      <c r="F998" s="21"/>
      <c r="G998" s="21"/>
    </row>
    <row r="999" ht="15.75" customHeight="1">
      <c r="C999" s="20"/>
      <c r="D999" s="20"/>
      <c r="E999" s="20"/>
      <c r="F999" s="21"/>
      <c r="G999" s="21"/>
    </row>
    <row r="1000" ht="15.75" customHeight="1">
      <c r="C1000" s="20"/>
      <c r="D1000" s="20"/>
      <c r="E1000" s="20"/>
      <c r="F1000" s="21"/>
      <c r="G1000" s="21"/>
    </row>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adam_ann">
    <pageSetUpPr/>
  </sheetPr>
  <sheetViews>
    <sheetView workbookViewId="0">
      <pane xSplit="3.0" ySplit="3.0" topLeftCell="D4" activePane="bottomRight" state="frozen"/>
      <selection activeCell="D1" sqref="D1" pane="topRight"/>
      <selection activeCell="A4" sqref="A4" pane="bottomLeft"/>
      <selection activeCell="D4" sqref="D4" pane="bottomRight"/>
    </sheetView>
  </sheetViews>
  <sheetFormatPr customHeight="1" defaultColWidth="14.43" defaultRowHeight="15.0"/>
  <cols>
    <col customWidth="1" min="1" max="3" width="8.86"/>
    <col customWidth="1" min="4" max="4" width="10.86"/>
    <col customWidth="1" min="5" max="5" width="9.14"/>
    <col customWidth="1" min="6" max="6" width="10.86"/>
    <col customWidth="1" min="7" max="7" width="10.14"/>
    <col customWidth="1" min="8" max="8" width="8.29"/>
    <col customWidth="1" min="9" max="9" width="5.86"/>
    <col customWidth="1" min="10" max="11" width="6.43"/>
    <col customWidth="1" min="12" max="12" width="8.29"/>
    <col customWidth="1" min="13" max="13" width="13.14"/>
    <col customWidth="1" min="14" max="14" width="8.29"/>
    <col customWidth="1" min="15" max="26" width="8.86"/>
  </cols>
  <sheetData>
    <row r="1">
      <c r="B1" s="14" t="s">
        <v>31</v>
      </c>
      <c r="C1" s="20">
        <v>29.990939773126538</v>
      </c>
      <c r="D1" s="20" t="s">
        <v>38</v>
      </c>
      <c r="E1" s="20"/>
      <c r="F1" s="21"/>
      <c r="G1" s="21"/>
      <c r="I1" s="14" t="s">
        <v>54</v>
      </c>
      <c r="J1" s="14">
        <v>0.9</v>
      </c>
      <c r="K1" s="14">
        <f>1-J1</f>
        <v>0.1</v>
      </c>
      <c r="L1" s="14">
        <v>0.95</v>
      </c>
      <c r="M1" s="14">
        <f>1-L1</f>
        <v>0.05</v>
      </c>
    </row>
    <row r="2">
      <c r="B2" s="14" t="s">
        <v>33</v>
      </c>
      <c r="C2" s="20">
        <v>2.0041632844175137</v>
      </c>
      <c r="D2" s="14">
        <v>0.00390625</v>
      </c>
      <c r="E2" s="20"/>
      <c r="F2" s="22"/>
      <c r="G2" s="22"/>
    </row>
    <row r="3">
      <c r="A3" s="15" t="s">
        <v>35</v>
      </c>
      <c r="B3" s="15" t="s">
        <v>36</v>
      </c>
      <c r="C3" s="23" t="s">
        <v>31</v>
      </c>
      <c r="D3" s="23" t="s">
        <v>33</v>
      </c>
      <c r="E3" s="23" t="s">
        <v>55</v>
      </c>
      <c r="F3" s="24" t="s">
        <v>48</v>
      </c>
      <c r="G3" s="24" t="s">
        <v>49</v>
      </c>
      <c r="H3" s="15" t="s">
        <v>51</v>
      </c>
      <c r="I3" s="15" t="s">
        <v>50</v>
      </c>
      <c r="J3" s="14">
        <f t="shared" ref="J3:M3" si="1">J33</f>
        <v>-0.04844194314</v>
      </c>
      <c r="K3" s="14">
        <f t="shared" si="1"/>
        <v>-4.064202551</v>
      </c>
      <c r="L3" s="26">
        <f t="shared" si="1"/>
        <v>0.02527589589</v>
      </c>
      <c r="M3" s="26">
        <f t="shared" si="1"/>
        <v>161.896154</v>
      </c>
      <c r="N3" s="14">
        <v>10.326280808548518</v>
      </c>
      <c r="P3" s="15"/>
      <c r="Q3" s="15"/>
      <c r="R3" s="15"/>
      <c r="S3" s="15"/>
      <c r="T3" s="15"/>
      <c r="U3" s="15"/>
      <c r="V3" s="15"/>
      <c r="W3" s="15"/>
      <c r="X3" s="15"/>
      <c r="Y3" s="15"/>
      <c r="Z3" s="15"/>
    </row>
    <row r="4">
      <c r="A4" s="14">
        <v>14.0</v>
      </c>
      <c r="B4" s="14">
        <v>58.0</v>
      </c>
      <c r="C4" s="17">
        <f>C1</f>
        <v>29.99093977</v>
      </c>
      <c r="D4" s="17">
        <f>C2</f>
        <v>2.004163284</v>
      </c>
      <c r="E4" s="17">
        <f t="shared" ref="E4:E32" si="6">C4+D4*A4</f>
        <v>58.04922575</v>
      </c>
      <c r="F4" s="21">
        <f t="shared" ref="F4:F32" si="7">2*(D4*A4+C4-B4)</f>
        <v>0.09845150994</v>
      </c>
      <c r="G4" s="21">
        <f t="shared" ref="G4:G32" si="8">F4*A4</f>
        <v>1.378321139</v>
      </c>
      <c r="H4" s="17">
        <f t="shared" ref="H4:I4" si="2">C4-J4*$D$2/SQRT(L4)</f>
        <v>29.99178216</v>
      </c>
      <c r="I4" s="17">
        <f t="shared" si="2"/>
        <v>2.005271648</v>
      </c>
      <c r="J4" s="14">
        <f t="shared" ref="J4:K4" si="3">J3*$J$1+$K$1*F4</f>
        <v>-0.03375259783</v>
      </c>
      <c r="K4" s="14">
        <f t="shared" si="3"/>
        <v>-3.519950182</v>
      </c>
      <c r="L4" s="14">
        <f t="shared" ref="L4:M4" si="4">L3*$L$1+$M$1*F4^2</f>
        <v>0.02449673608</v>
      </c>
      <c r="M4" s="14">
        <f t="shared" si="4"/>
        <v>153.8963348</v>
      </c>
    </row>
    <row r="5">
      <c r="A5" s="14">
        <v>86.0</v>
      </c>
      <c r="B5" s="14">
        <v>202.0</v>
      </c>
      <c r="C5" s="17">
        <f t="shared" ref="C5:D5" si="5">H4</f>
        <v>29.99178216</v>
      </c>
      <c r="D5" s="17">
        <f t="shared" si="5"/>
        <v>2.005271648</v>
      </c>
      <c r="E5" s="17">
        <f t="shared" si="6"/>
        <v>202.4451439</v>
      </c>
      <c r="F5" s="21">
        <f t="shared" si="7"/>
        <v>0.8902878546</v>
      </c>
      <c r="G5" s="21">
        <f t="shared" si="8"/>
        <v>76.5647555</v>
      </c>
      <c r="H5" s="17">
        <f t="shared" ref="H5:I5" si="9">C5-J5*$D$2/SQRT(L5)</f>
        <v>29.99086867</v>
      </c>
      <c r="I5" s="17">
        <f t="shared" si="9"/>
        <v>2.004435125</v>
      </c>
      <c r="J5" s="14">
        <f t="shared" ref="J5:K5" si="10">J4*$J$1+$K$1*F5</f>
        <v>0.05865144741</v>
      </c>
      <c r="K5" s="14">
        <f t="shared" si="10"/>
        <v>4.488520386</v>
      </c>
      <c r="L5" s="14">
        <f t="shared" ref="L5:M5" si="11">L4*$L$1+$M$1*F5^2</f>
        <v>0.06290252248</v>
      </c>
      <c r="M5" s="14">
        <f t="shared" si="11"/>
        <v>439.3096073</v>
      </c>
    </row>
    <row r="6">
      <c r="A6" s="14">
        <v>28.0</v>
      </c>
      <c r="B6" s="14">
        <v>86.0</v>
      </c>
      <c r="C6" s="17">
        <f t="shared" ref="C6:D6" si="12">H5</f>
        <v>29.99086867</v>
      </c>
      <c r="D6" s="17">
        <f t="shared" si="12"/>
        <v>2.004435125</v>
      </c>
      <c r="E6" s="17">
        <f t="shared" si="6"/>
        <v>86.11505218</v>
      </c>
      <c r="F6" s="21">
        <f t="shared" si="7"/>
        <v>0.2301043657</v>
      </c>
      <c r="G6" s="21">
        <f t="shared" si="8"/>
        <v>6.442922239</v>
      </c>
      <c r="H6" s="17">
        <f t="shared" ref="H6:I6" si="13">C6-J6*$D$2/SQRT(L6)</f>
        <v>29.98968344</v>
      </c>
      <c r="I6" s="17">
        <f t="shared" si="13"/>
        <v>2.003541719</v>
      </c>
      <c r="J6" s="14">
        <f t="shared" ref="J6:K6" si="14">J5*$J$1+$K$1*F6</f>
        <v>0.07579673924</v>
      </c>
      <c r="K6" s="14">
        <f t="shared" si="14"/>
        <v>4.683960571</v>
      </c>
      <c r="L6" s="14">
        <f t="shared" ref="L6:M6" si="15">L5*$L$1+$M$1*F6^2</f>
        <v>0.06240479731</v>
      </c>
      <c r="M6" s="14">
        <f t="shared" si="15"/>
        <v>419.4196893</v>
      </c>
    </row>
    <row r="7">
      <c r="A7" s="14">
        <v>51.0</v>
      </c>
      <c r="B7" s="14">
        <v>132.0</v>
      </c>
      <c r="C7" s="17">
        <f t="shared" ref="C7:D7" si="16">H6</f>
        <v>29.98968344</v>
      </c>
      <c r="D7" s="17">
        <f t="shared" si="16"/>
        <v>2.003541719</v>
      </c>
      <c r="E7" s="17">
        <f t="shared" si="6"/>
        <v>132.1703111</v>
      </c>
      <c r="F7" s="21">
        <f t="shared" si="7"/>
        <v>0.3406222703</v>
      </c>
      <c r="G7" s="21">
        <f t="shared" si="8"/>
        <v>17.37173579</v>
      </c>
      <c r="H7" s="17">
        <f t="shared" ref="H7:I7" si="17">C7-J7*$D$2/SQRT(L7)</f>
        <v>29.9881174</v>
      </c>
      <c r="I7" s="17">
        <f t="shared" si="17"/>
        <v>2.002398264</v>
      </c>
      <c r="J7" s="14">
        <f t="shared" ref="J7:K7" si="18">J6*$J$1+$K$1*F7</f>
        <v>0.1022792923</v>
      </c>
      <c r="K7" s="14">
        <f t="shared" si="18"/>
        <v>5.952738093</v>
      </c>
      <c r="L7" s="14">
        <f t="shared" ref="L7:M7" si="19">L6*$L$1+$M$1*F7^2</f>
        <v>0.065085734</v>
      </c>
      <c r="M7" s="14">
        <f t="shared" si="19"/>
        <v>413.537565</v>
      </c>
    </row>
    <row r="8">
      <c r="A8" s="14">
        <v>28.0</v>
      </c>
      <c r="B8" s="14">
        <v>86.0</v>
      </c>
      <c r="C8" s="17">
        <f t="shared" ref="C8:D8" si="20">H7</f>
        <v>29.9881174</v>
      </c>
      <c r="D8" s="17">
        <f t="shared" si="20"/>
        <v>2.002398264</v>
      </c>
      <c r="E8" s="17">
        <f t="shared" si="6"/>
        <v>86.05526878</v>
      </c>
      <c r="F8" s="21">
        <f t="shared" si="7"/>
        <v>0.1105375652</v>
      </c>
      <c r="G8" s="21">
        <f t="shared" si="8"/>
        <v>3.095051825</v>
      </c>
      <c r="H8" s="17">
        <f t="shared" ref="H8:I8" si="21">C8-J8*$D$2/SQRT(L8)</f>
        <v>29.98650564</v>
      </c>
      <c r="I8" s="17">
        <f t="shared" si="21"/>
        <v>2.001282102</v>
      </c>
      <c r="J8" s="14">
        <f t="shared" ref="J8:K8" si="22">J7*$J$1+$K$1*F8</f>
        <v>0.1031051196</v>
      </c>
      <c r="K8" s="14">
        <f t="shared" si="22"/>
        <v>5.666969466</v>
      </c>
      <c r="L8" s="14">
        <f t="shared" ref="L8:M8" si="23">L7*$L$1+$M$1*F8^2</f>
        <v>0.06244237496</v>
      </c>
      <c r="M8" s="14">
        <f t="shared" si="23"/>
        <v>393.339654</v>
      </c>
    </row>
    <row r="9">
      <c r="A9" s="14">
        <v>29.0</v>
      </c>
      <c r="B9" s="14">
        <v>88.0</v>
      </c>
      <c r="C9" s="17">
        <f t="shared" ref="C9:D9" si="24">H8</f>
        <v>29.98650564</v>
      </c>
      <c r="D9" s="17">
        <f t="shared" si="24"/>
        <v>2.001282102</v>
      </c>
      <c r="E9" s="17">
        <f t="shared" si="6"/>
        <v>88.0236866</v>
      </c>
      <c r="F9" s="21">
        <f t="shared" si="7"/>
        <v>0.04737320388</v>
      </c>
      <c r="G9" s="21">
        <f t="shared" si="8"/>
        <v>1.373822913</v>
      </c>
      <c r="H9" s="17">
        <f t="shared" ref="H9:I9" si="25">C9-J9*$D$2/SQRT(L9)</f>
        <v>29.98494287</v>
      </c>
      <c r="I9" s="17">
        <f t="shared" si="25"/>
        <v>2.000223832</v>
      </c>
      <c r="J9" s="14">
        <f t="shared" ref="J9:K9" si="26">J8*$J$1+$K$1*F9</f>
        <v>0.09753192805</v>
      </c>
      <c r="K9" s="14">
        <f t="shared" si="26"/>
        <v>5.237654811</v>
      </c>
      <c r="L9" s="14">
        <f t="shared" ref="L9:M9" si="27">L8*$L$1+$M$1*F9^2</f>
        <v>0.05943246724</v>
      </c>
      <c r="M9" s="14">
        <f t="shared" si="27"/>
        <v>373.7670408</v>
      </c>
    </row>
    <row r="10">
      <c r="A10" s="14">
        <v>72.0</v>
      </c>
      <c r="B10" s="14">
        <v>174.0</v>
      </c>
      <c r="C10" s="17">
        <f t="shared" ref="C10:D10" si="28">H9</f>
        <v>29.98494287</v>
      </c>
      <c r="D10" s="17">
        <f t="shared" si="28"/>
        <v>2.000223832</v>
      </c>
      <c r="E10" s="17">
        <f t="shared" si="6"/>
        <v>174.0010588</v>
      </c>
      <c r="F10" s="21">
        <f t="shared" si="7"/>
        <v>0.002117607626</v>
      </c>
      <c r="G10" s="21">
        <f t="shared" si="8"/>
        <v>0.1524677491</v>
      </c>
      <c r="H10" s="17">
        <f t="shared" ref="H10:I10" si="29">C10-J10*$D$2/SQRT(L10)</f>
        <v>29.98349636</v>
      </c>
      <c r="I10" s="17">
        <f t="shared" si="29"/>
        <v>1.999243488</v>
      </c>
      <c r="J10" s="14">
        <f t="shared" ref="J10:K10" si="30">J9*$J$1+$K$1*F10</f>
        <v>0.08799049601</v>
      </c>
      <c r="K10" s="14">
        <f t="shared" si="30"/>
        <v>4.729136104</v>
      </c>
      <c r="L10" s="14">
        <f t="shared" ref="L10:M10" si="31">L9*$L$1+$M$1*F10^2</f>
        <v>0.05646106809</v>
      </c>
      <c r="M10" s="14">
        <f t="shared" si="31"/>
        <v>355.0798511</v>
      </c>
    </row>
    <row r="11">
      <c r="A11" s="14">
        <v>62.0</v>
      </c>
      <c r="B11" s="14">
        <v>154.0</v>
      </c>
      <c r="C11" s="17">
        <f t="shared" ref="C11:D11" si="32">H10</f>
        <v>29.98349636</v>
      </c>
      <c r="D11" s="17">
        <f t="shared" si="32"/>
        <v>1.999243488</v>
      </c>
      <c r="E11" s="17">
        <f t="shared" si="6"/>
        <v>153.9365926</v>
      </c>
      <c r="F11" s="21">
        <f t="shared" si="7"/>
        <v>-0.1268148111</v>
      </c>
      <c r="G11" s="21">
        <f t="shared" si="8"/>
        <v>-7.862518287</v>
      </c>
      <c r="H11" s="17">
        <f t="shared" ref="H11:I11" si="33">C11-J11*$D$2/SQRT(L11)</f>
        <v>29.98238289</v>
      </c>
      <c r="I11" s="17">
        <f t="shared" si="33"/>
        <v>1.998508838</v>
      </c>
      <c r="J11" s="14">
        <f t="shared" ref="J11:K11" si="34">J10*$J$1+$K$1*F11</f>
        <v>0.0665099653</v>
      </c>
      <c r="K11" s="14">
        <f t="shared" si="34"/>
        <v>3.469970665</v>
      </c>
      <c r="L11" s="14">
        <f t="shared" ref="L11:M11" si="35">L10*$L$1+$M$1*F11^2</f>
        <v>0.0544421145</v>
      </c>
      <c r="M11" s="14">
        <f t="shared" si="35"/>
        <v>340.4168182</v>
      </c>
    </row>
    <row r="12">
      <c r="A12" s="14">
        <v>84.0</v>
      </c>
      <c r="B12" s="14">
        <v>198.0</v>
      </c>
      <c r="C12" s="17">
        <f t="shared" ref="C12:D12" si="36">H11</f>
        <v>29.98238289</v>
      </c>
      <c r="D12" s="17">
        <f t="shared" si="36"/>
        <v>1.998508838</v>
      </c>
      <c r="E12" s="17">
        <f t="shared" si="6"/>
        <v>197.8571253</v>
      </c>
      <c r="F12" s="21">
        <f t="shared" si="7"/>
        <v>-0.2857494537</v>
      </c>
      <c r="G12" s="21">
        <f t="shared" si="8"/>
        <v>-24.00295411</v>
      </c>
      <c r="H12" s="17">
        <f t="shared" ref="H12:I12" si="37">C12-J12*$D$2/SQRT(L12)</f>
        <v>29.98186557</v>
      </c>
      <c r="I12" s="17">
        <f t="shared" si="37"/>
        <v>1.998358417</v>
      </c>
      <c r="J12" s="14">
        <f t="shared" ref="J12:K12" si="38">J11*$J$1+$K$1*F12</f>
        <v>0.0312840234</v>
      </c>
      <c r="K12" s="14">
        <f t="shared" si="38"/>
        <v>0.7226781876</v>
      </c>
      <c r="L12" s="14">
        <f t="shared" ref="L12:M12" si="39">L11*$L$1+$M$1*F12^2</f>
        <v>0.05580264629</v>
      </c>
      <c r="M12" s="14">
        <f t="shared" si="39"/>
        <v>352.2030676</v>
      </c>
    </row>
    <row r="13">
      <c r="A13" s="14">
        <v>15.0</v>
      </c>
      <c r="B13" s="14">
        <v>60.0</v>
      </c>
      <c r="C13" s="17">
        <f t="shared" ref="C13:D13" si="40">H12</f>
        <v>29.98186557</v>
      </c>
      <c r="D13" s="17">
        <f t="shared" si="40"/>
        <v>1.998358417</v>
      </c>
      <c r="E13" s="17">
        <f t="shared" si="6"/>
        <v>59.95724182</v>
      </c>
      <c r="F13" s="21">
        <f t="shared" si="7"/>
        <v>-0.08551635101</v>
      </c>
      <c r="G13" s="21">
        <f t="shared" si="8"/>
        <v>-1.282745265</v>
      </c>
      <c r="H13" s="17">
        <f t="shared" ref="H13:I13" si="41">C13-J13*$D$2/SQRT(L13)</f>
        <v>29.98153412</v>
      </c>
      <c r="I13" s="17">
        <f t="shared" si="41"/>
        <v>1.998246928</v>
      </c>
      <c r="J13" s="14">
        <f t="shared" ref="J13:K13" si="42">J12*$J$1+$K$1*F13</f>
        <v>0.01960398596</v>
      </c>
      <c r="K13" s="14">
        <f t="shared" si="42"/>
        <v>0.5221358423</v>
      </c>
      <c r="L13" s="14">
        <f t="shared" ref="L13:M13" si="43">L12*$L$1+$M$1*F13^2</f>
        <v>0.05337816629</v>
      </c>
      <c r="M13" s="14">
        <f t="shared" si="43"/>
        <v>334.675186</v>
      </c>
    </row>
    <row r="14">
      <c r="A14" s="14">
        <v>42.0</v>
      </c>
      <c r="B14" s="14">
        <v>114.0</v>
      </c>
      <c r="C14" s="17">
        <f t="shared" ref="C14:D14" si="44">H13</f>
        <v>29.98153412</v>
      </c>
      <c r="D14" s="17">
        <f t="shared" si="44"/>
        <v>1.998246928</v>
      </c>
      <c r="E14" s="17">
        <f t="shared" si="6"/>
        <v>113.9079051</v>
      </c>
      <c r="F14" s="21">
        <f t="shared" si="7"/>
        <v>-0.1841898124</v>
      </c>
      <c r="G14" s="21">
        <f t="shared" si="8"/>
        <v>-7.73597212</v>
      </c>
      <c r="H14" s="17">
        <f t="shared" ref="H14:I14" si="45">C14-J14*$D$2/SQRT(L14)</f>
        <v>29.98154735</v>
      </c>
      <c r="I14" s="17">
        <f t="shared" si="45"/>
        <v>1.998313144</v>
      </c>
      <c r="J14" s="14">
        <f t="shared" ref="J14:K14" si="46">J13*$J$1+$K$1*F14</f>
        <v>-0.0007753938741</v>
      </c>
      <c r="K14" s="14">
        <f t="shared" si="46"/>
        <v>-0.3036749539</v>
      </c>
      <c r="L14" s="14">
        <f t="shared" ref="L14:M14" si="47">L13*$L$1+$M$1*F14^2</f>
        <v>0.05240555233</v>
      </c>
      <c r="M14" s="14">
        <f t="shared" si="47"/>
        <v>320.9336899</v>
      </c>
    </row>
    <row r="15">
      <c r="A15" s="14">
        <v>62.0</v>
      </c>
      <c r="B15" s="14">
        <v>154.0</v>
      </c>
      <c r="C15" s="17">
        <f t="shared" ref="C15:D15" si="48">H14</f>
        <v>29.98154735</v>
      </c>
      <c r="D15" s="17">
        <f t="shared" si="48"/>
        <v>1.998313144</v>
      </c>
      <c r="E15" s="17">
        <f t="shared" si="6"/>
        <v>153.8769623</v>
      </c>
      <c r="F15" s="21">
        <f t="shared" si="7"/>
        <v>-0.246075475</v>
      </c>
      <c r="G15" s="21">
        <f t="shared" si="8"/>
        <v>-15.25667945</v>
      </c>
      <c r="H15" s="17">
        <f t="shared" ref="H15:I15" si="49">C15-J15*$D$2/SQRT(L15)</f>
        <v>29.98197748</v>
      </c>
      <c r="I15" s="17">
        <f t="shared" si="49"/>
        <v>1.998708129</v>
      </c>
      <c r="J15" s="14">
        <f t="shared" ref="J15:K15" si="50">J14*$J$1+$K$1*F15</f>
        <v>-0.02530540199</v>
      </c>
      <c r="K15" s="14">
        <f t="shared" si="50"/>
        <v>-1.798975404</v>
      </c>
      <c r="L15" s="14">
        <f t="shared" ref="L15:M15" si="51">L14*$L$1+$M$1*F15^2</f>
        <v>0.05281293168</v>
      </c>
      <c r="M15" s="14">
        <f t="shared" si="51"/>
        <v>316.5253188</v>
      </c>
    </row>
    <row r="16">
      <c r="A16" s="14">
        <v>47.0</v>
      </c>
      <c r="B16" s="14">
        <v>124.0</v>
      </c>
      <c r="C16" s="17">
        <f t="shared" ref="C16:D16" si="52">H15</f>
        <v>29.98197748</v>
      </c>
      <c r="D16" s="17">
        <f t="shared" si="52"/>
        <v>1.998708129</v>
      </c>
      <c r="E16" s="17">
        <f t="shared" si="6"/>
        <v>123.9212596</v>
      </c>
      <c r="F16" s="21">
        <f t="shared" si="7"/>
        <v>-0.1574808953</v>
      </c>
      <c r="G16" s="21">
        <f t="shared" si="8"/>
        <v>-7.401602078</v>
      </c>
      <c r="H16" s="17">
        <f t="shared" ref="H16:I16" si="53">C16-J16*$D$2/SQRT(L16)</f>
        <v>29.98264114</v>
      </c>
      <c r="I16" s="17">
        <f t="shared" si="53"/>
        <v>1.999237179</v>
      </c>
      <c r="J16" s="14">
        <f t="shared" ref="J16:K16" si="54">J15*$J$1+$K$1*F16</f>
        <v>-0.03852295132</v>
      </c>
      <c r="K16" s="14">
        <f t="shared" si="54"/>
        <v>-2.359238071</v>
      </c>
      <c r="L16" s="14">
        <f t="shared" ref="L16:M16" si="55">L15*$L$1+$M$1*F16^2</f>
        <v>0.05141229671</v>
      </c>
      <c r="M16" s="14">
        <f t="shared" si="55"/>
        <v>303.4382386</v>
      </c>
    </row>
    <row r="17">
      <c r="A17" s="14">
        <v>35.0</v>
      </c>
      <c r="B17" s="14">
        <v>100.0</v>
      </c>
      <c r="C17" s="17">
        <f t="shared" ref="C17:D17" si="56">H16</f>
        <v>29.98264114</v>
      </c>
      <c r="D17" s="17">
        <f t="shared" si="56"/>
        <v>1.999237179</v>
      </c>
      <c r="E17" s="17">
        <f t="shared" si="6"/>
        <v>99.95594241</v>
      </c>
      <c r="F17" s="21">
        <f t="shared" si="7"/>
        <v>-0.0881151803</v>
      </c>
      <c r="G17" s="21">
        <f t="shared" si="8"/>
        <v>-3.084031311</v>
      </c>
      <c r="H17" s="17">
        <f t="shared" ref="H17:I17" si="57">C17-J17*$D$2/SQRT(L17)</f>
        <v>29.98340666</v>
      </c>
      <c r="I17" s="17">
        <f t="shared" si="57"/>
        <v>1.999796187</v>
      </c>
      <c r="J17" s="14">
        <f t="shared" ref="J17:K17" si="58">J16*$J$1+$K$1*F17</f>
        <v>-0.04348217421</v>
      </c>
      <c r="K17" s="14">
        <f t="shared" si="58"/>
        <v>-2.431717395</v>
      </c>
      <c r="L17" s="14">
        <f t="shared" ref="L17:M17" si="59">L16*$L$1+$M$1*F17^2</f>
        <v>0.04922989613</v>
      </c>
      <c r="M17" s="14">
        <f t="shared" si="59"/>
        <v>288.7418891</v>
      </c>
    </row>
    <row r="18">
      <c r="A18" s="14">
        <v>9.0</v>
      </c>
      <c r="B18" s="14">
        <v>48.0</v>
      </c>
      <c r="C18" s="17">
        <f t="shared" ref="C18:D18" si="60">H17</f>
        <v>29.98340666</v>
      </c>
      <c r="D18" s="17">
        <f t="shared" si="60"/>
        <v>1.999796187</v>
      </c>
      <c r="E18" s="17">
        <f t="shared" si="6"/>
        <v>47.98157235</v>
      </c>
      <c r="F18" s="21">
        <f t="shared" si="7"/>
        <v>-0.03685530327</v>
      </c>
      <c r="G18" s="21">
        <f t="shared" si="8"/>
        <v>-0.3316977294</v>
      </c>
      <c r="H18" s="17">
        <f t="shared" ref="H18:I18" si="61">C18-J18*$D$2/SQRT(L18)</f>
        <v>29.98417954</v>
      </c>
      <c r="I18" s="17">
        <f t="shared" si="61"/>
        <v>2.000320183</v>
      </c>
      <c r="J18" s="14">
        <f t="shared" ref="J18:K18" si="62">J17*$J$1+$K$1*F18</f>
        <v>-0.04281948712</v>
      </c>
      <c r="K18" s="14">
        <f t="shared" si="62"/>
        <v>-2.221715428</v>
      </c>
      <c r="L18" s="14">
        <f t="shared" ref="L18:M18" si="63">L17*$L$1+$M$1*F18^2</f>
        <v>0.04683631699</v>
      </c>
      <c r="M18" s="14">
        <f t="shared" si="63"/>
        <v>274.3102958</v>
      </c>
    </row>
    <row r="19">
      <c r="A19" s="14">
        <v>38.0</v>
      </c>
      <c r="B19" s="14">
        <v>106.0</v>
      </c>
      <c r="C19" s="17">
        <f t="shared" ref="C19:D19" si="64">H18</f>
        <v>29.98417954</v>
      </c>
      <c r="D19" s="17">
        <f t="shared" si="64"/>
        <v>2.000320183</v>
      </c>
      <c r="E19" s="17">
        <f t="shared" si="6"/>
        <v>105.9963465</v>
      </c>
      <c r="F19" s="21">
        <f t="shared" si="7"/>
        <v>-0.007307037861</v>
      </c>
      <c r="G19" s="21">
        <f t="shared" si="8"/>
        <v>-0.2776674387</v>
      </c>
      <c r="H19" s="17">
        <f t="shared" ref="H19:I19" si="65">C19-J19*$D$2/SQRT(L19)</f>
        <v>29.98490671</v>
      </c>
      <c r="I19" s="17">
        <f t="shared" si="65"/>
        <v>2.000810745</v>
      </c>
      <c r="J19" s="14">
        <f t="shared" ref="J19:K19" si="66">J18*$J$1+$K$1*F19</f>
        <v>-0.03926824219</v>
      </c>
      <c r="K19" s="14">
        <f t="shared" si="66"/>
        <v>-2.027310629</v>
      </c>
      <c r="L19" s="14">
        <f t="shared" ref="L19:M19" si="67">L18*$L$1+$M$1*F19^2</f>
        <v>0.04449717078</v>
      </c>
      <c r="M19" s="14">
        <f t="shared" si="67"/>
        <v>260.598636</v>
      </c>
    </row>
    <row r="20">
      <c r="A20" s="14">
        <v>44.0</v>
      </c>
      <c r="B20" s="14">
        <v>118.0</v>
      </c>
      <c r="C20" s="17">
        <f t="shared" ref="C20:D20" si="68">H19</f>
        <v>29.98490671</v>
      </c>
      <c r="D20" s="17">
        <f t="shared" si="68"/>
        <v>2.000810745</v>
      </c>
      <c r="E20" s="17">
        <f t="shared" si="6"/>
        <v>118.0205795</v>
      </c>
      <c r="F20" s="21">
        <f t="shared" si="7"/>
        <v>0.04115898403</v>
      </c>
      <c r="G20" s="21">
        <f t="shared" si="8"/>
        <v>1.810995297</v>
      </c>
      <c r="H20" s="17">
        <f t="shared" ref="H20:I20" si="69">C20-J20*$D$2/SQRT(L20)</f>
        <v>29.98549937</v>
      </c>
      <c r="I20" s="17">
        <f t="shared" si="69"/>
        <v>2.001218625</v>
      </c>
      <c r="J20" s="14">
        <f t="shared" ref="J20:K20" si="70">J19*$J$1+$K$1*F20</f>
        <v>-0.03122551957</v>
      </c>
      <c r="K20" s="14">
        <f t="shared" si="70"/>
        <v>-1.643480037</v>
      </c>
      <c r="L20" s="14">
        <f t="shared" ref="L20:M20" si="71">L19*$L$1+$M$1*F20^2</f>
        <v>0.04235701534</v>
      </c>
      <c r="M20" s="14">
        <f t="shared" si="71"/>
        <v>247.7326894</v>
      </c>
    </row>
    <row r="21" ht="15.75" customHeight="1">
      <c r="A21" s="14">
        <v>99.0</v>
      </c>
      <c r="B21" s="14">
        <v>228.0</v>
      </c>
      <c r="C21" s="17">
        <f t="shared" ref="C21:D21" si="72">H20</f>
        <v>29.98549937</v>
      </c>
      <c r="D21" s="17">
        <f t="shared" si="72"/>
        <v>2.001218625</v>
      </c>
      <c r="E21" s="17">
        <f t="shared" si="6"/>
        <v>228.1061433</v>
      </c>
      <c r="F21" s="21">
        <f t="shared" si="7"/>
        <v>0.2122865834</v>
      </c>
      <c r="G21" s="21">
        <f t="shared" si="8"/>
        <v>21.01637176</v>
      </c>
      <c r="H21" s="17">
        <f t="shared" ref="H21:I21" si="73">C21-J21*$D$2/SQRT(L21)</f>
        <v>29.98562964</v>
      </c>
      <c r="I21" s="17">
        <f t="shared" si="73"/>
        <v>2.00106707</v>
      </c>
      <c r="J21" s="14">
        <f t="shared" ref="J21:K21" si="74">J20*$J$1+$K$1*F21</f>
        <v>-0.006874309273</v>
      </c>
      <c r="K21" s="14">
        <f t="shared" si="74"/>
        <v>0.6225051427</v>
      </c>
      <c r="L21" s="14">
        <f t="shared" ref="L21:M21" si="75">L20*$L$1+$M$1*F21^2</f>
        <v>0.04249244425</v>
      </c>
      <c r="M21" s="14">
        <f t="shared" si="75"/>
        <v>257.430449</v>
      </c>
    </row>
    <row r="22" ht="15.75" customHeight="1">
      <c r="A22" s="14">
        <v>13.0</v>
      </c>
      <c r="B22" s="14">
        <v>56.0</v>
      </c>
      <c r="C22" s="17">
        <f t="shared" ref="C22:D22" si="76">H21</f>
        <v>29.98562964</v>
      </c>
      <c r="D22" s="17">
        <f t="shared" si="76"/>
        <v>2.00106707</v>
      </c>
      <c r="E22" s="17">
        <f t="shared" si="6"/>
        <v>55.99950154</v>
      </c>
      <c r="F22" s="21">
        <f t="shared" si="7"/>
        <v>-0.0009969204905</v>
      </c>
      <c r="G22" s="21">
        <f t="shared" si="8"/>
        <v>-0.01295996638</v>
      </c>
      <c r="H22" s="17">
        <f t="shared" ref="H22:I22" si="77">C22-J22*$D$2/SQRT(L22)</f>
        <v>29.98575186</v>
      </c>
      <c r="I22" s="17">
        <f t="shared" si="77"/>
        <v>2.000927449</v>
      </c>
      <c r="J22" s="14">
        <f t="shared" ref="J22:K22" si="78">J21*$J$1+$K$1*F22</f>
        <v>-0.006286570395</v>
      </c>
      <c r="K22" s="14">
        <f t="shared" si="78"/>
        <v>0.5589586318</v>
      </c>
      <c r="L22" s="14">
        <f t="shared" ref="L22:M22" si="79">L21*$L$1+$M$1*F22^2</f>
        <v>0.04036787173</v>
      </c>
      <c r="M22" s="14">
        <f t="shared" si="79"/>
        <v>244.5589349</v>
      </c>
    </row>
    <row r="23" ht="15.75" customHeight="1">
      <c r="A23" s="14">
        <v>21.0</v>
      </c>
      <c r="B23" s="14">
        <v>72.0</v>
      </c>
      <c r="C23" s="17">
        <f t="shared" ref="C23:D23" si="80">H22</f>
        <v>29.98575186</v>
      </c>
      <c r="D23" s="17">
        <f t="shared" si="80"/>
        <v>2.000927449</v>
      </c>
      <c r="E23" s="17">
        <f t="shared" si="6"/>
        <v>72.0052283</v>
      </c>
      <c r="F23" s="21">
        <f t="shared" si="7"/>
        <v>0.01045659539</v>
      </c>
      <c r="G23" s="21">
        <f t="shared" si="8"/>
        <v>0.2195885032</v>
      </c>
      <c r="H23" s="17">
        <f t="shared" ref="H23:I23" si="81">C23-J23*$D$2/SQRT(L23)</f>
        <v>29.98584385</v>
      </c>
      <c r="I23" s="17">
        <f t="shared" si="81"/>
        <v>2.0007929</v>
      </c>
      <c r="J23" s="14">
        <f t="shared" ref="J23:K23" si="82">J22*$J$1+$K$1*F23</f>
        <v>-0.004612253817</v>
      </c>
      <c r="K23" s="14">
        <f t="shared" si="82"/>
        <v>0.525021619</v>
      </c>
      <c r="L23" s="14">
        <f t="shared" ref="L23:M23" si="83">L22*$L$1+$M$1*F23^2</f>
        <v>0.03835494516</v>
      </c>
      <c r="M23" s="14">
        <f t="shared" si="83"/>
        <v>232.3333992</v>
      </c>
    </row>
    <row r="24" ht="15.75" customHeight="1">
      <c r="A24" s="14">
        <v>28.0</v>
      </c>
      <c r="B24" s="14">
        <v>86.0</v>
      </c>
      <c r="C24" s="17">
        <f t="shared" ref="C24:D24" si="84">H23</f>
        <v>29.98584385</v>
      </c>
      <c r="D24" s="17">
        <f t="shared" si="84"/>
        <v>2.0007929</v>
      </c>
      <c r="E24" s="17">
        <f t="shared" si="6"/>
        <v>86.00804506</v>
      </c>
      <c r="F24" s="21">
        <f t="shared" si="7"/>
        <v>0.01609011654</v>
      </c>
      <c r="G24" s="21">
        <f t="shared" si="8"/>
        <v>0.4505232631</v>
      </c>
      <c r="H24" s="17">
        <f t="shared" ref="H24:I24" si="85">C24-J24*$D$2/SQRT(L24)</f>
        <v>29.98589586</v>
      </c>
      <c r="I24" s="17">
        <f t="shared" si="85"/>
        <v>2.000656817</v>
      </c>
      <c r="J24" s="14">
        <f t="shared" ref="J24:K24" si="86">J23*$J$1+$K$1*F24</f>
        <v>-0.002542016781</v>
      </c>
      <c r="K24" s="14">
        <f t="shared" si="86"/>
        <v>0.5175717834</v>
      </c>
      <c r="L24" s="14">
        <f t="shared" ref="L24:M24" si="87">L23*$L$1+$M$1*F24^2</f>
        <v>0.0364501425</v>
      </c>
      <c r="M24" s="14">
        <f t="shared" si="87"/>
        <v>220.7268778</v>
      </c>
    </row>
    <row r="25" ht="15.75" customHeight="1">
      <c r="A25" s="14">
        <v>20.0</v>
      </c>
      <c r="B25" s="14">
        <v>70.0</v>
      </c>
      <c r="C25" s="17">
        <f t="shared" ref="C25:D25" si="88">H24</f>
        <v>29.98589586</v>
      </c>
      <c r="D25" s="17">
        <f t="shared" si="88"/>
        <v>2.000656817</v>
      </c>
      <c r="E25" s="17">
        <f t="shared" si="6"/>
        <v>69.99903221</v>
      </c>
      <c r="F25" s="21">
        <f t="shared" si="7"/>
        <v>-0.001935574378</v>
      </c>
      <c r="G25" s="21">
        <f t="shared" si="8"/>
        <v>-0.03871148757</v>
      </c>
      <c r="H25" s="17">
        <f t="shared" ref="H25:I25" si="89">C25-J25*$D$2/SQRT(L25)</f>
        <v>29.98594795</v>
      </c>
      <c r="I25" s="17">
        <f t="shared" si="89"/>
        <v>2.000532206</v>
      </c>
      <c r="J25" s="14">
        <f t="shared" ref="J25:K25" si="90">J24*$J$1+$K$1*F25</f>
        <v>-0.002481372541</v>
      </c>
      <c r="K25" s="14">
        <f t="shared" si="90"/>
        <v>0.4619434563</v>
      </c>
      <c r="L25" s="14">
        <f t="shared" ref="L25:M25" si="91">L24*$L$1+$M$1*F25^2</f>
        <v>0.03462782269</v>
      </c>
      <c r="M25" s="14">
        <f t="shared" si="91"/>
        <v>209.6906088</v>
      </c>
    </row>
    <row r="26" ht="15.75" customHeight="1">
      <c r="A26" s="14">
        <v>8.0</v>
      </c>
      <c r="B26" s="14">
        <v>46.0</v>
      </c>
      <c r="C26" s="17">
        <f t="shared" ref="C26:D26" si="92">H25</f>
        <v>29.98594795</v>
      </c>
      <c r="D26" s="17">
        <f t="shared" si="92"/>
        <v>2.000532206</v>
      </c>
      <c r="E26" s="17">
        <f t="shared" si="6"/>
        <v>45.9902056</v>
      </c>
      <c r="F26" s="21">
        <f t="shared" si="7"/>
        <v>-0.01958880534</v>
      </c>
      <c r="G26" s="21">
        <f t="shared" si="8"/>
        <v>-0.1567104427</v>
      </c>
      <c r="H26" s="17">
        <f t="shared" ref="H26:I26" si="93">C26-J26*$D$2/SQRT(L26)</f>
        <v>29.98603821</v>
      </c>
      <c r="I26" s="17">
        <f t="shared" si="93"/>
        <v>2.000421479</v>
      </c>
      <c r="J26" s="14">
        <f t="shared" ref="J26:K26" si="94">J25*$J$1+$K$1*F26</f>
        <v>-0.004192115821</v>
      </c>
      <c r="K26" s="14">
        <f t="shared" si="94"/>
        <v>0.4000780664</v>
      </c>
      <c r="L26" s="14">
        <f t="shared" ref="L26:M26" si="95">L25*$L$1+$M$1*F26^2</f>
        <v>0.03291561762</v>
      </c>
      <c r="M26" s="14">
        <f t="shared" si="95"/>
        <v>199.2073063</v>
      </c>
    </row>
    <row r="27" ht="15.75" customHeight="1">
      <c r="A27" s="14">
        <v>64.0</v>
      </c>
      <c r="B27" s="14">
        <v>158.0</v>
      </c>
      <c r="C27" s="17">
        <f t="shared" ref="C27:D27" si="96">H26</f>
        <v>29.98603821</v>
      </c>
      <c r="D27" s="17">
        <f t="shared" si="96"/>
        <v>2.000421479</v>
      </c>
      <c r="E27" s="17">
        <f t="shared" si="6"/>
        <v>158.0130129</v>
      </c>
      <c r="F27" s="21">
        <f t="shared" si="7"/>
        <v>0.02602572404</v>
      </c>
      <c r="G27" s="21">
        <f t="shared" si="8"/>
        <v>1.665646339</v>
      </c>
      <c r="H27" s="17">
        <f t="shared" ref="H27:I27" si="97">C27-J27*$D$2/SQRT(L27)</f>
        <v>29.98606405</v>
      </c>
      <c r="I27" s="17">
        <f t="shared" si="97"/>
        <v>2.000271994</v>
      </c>
      <c r="J27" s="14">
        <f t="shared" ref="J27:K27" si="98">J26*$J$1+$K$1*F27</f>
        <v>-0.001170331835</v>
      </c>
      <c r="K27" s="14">
        <f t="shared" si="98"/>
        <v>0.5266348936</v>
      </c>
      <c r="L27" s="14">
        <f t="shared" ref="L27:M27" si="99">L26*$L$1+$M$1*F27^2</f>
        <v>0.03130370366</v>
      </c>
      <c r="M27" s="14">
        <f t="shared" si="99"/>
        <v>189.3856598</v>
      </c>
    </row>
    <row r="28" ht="15.75" customHeight="1">
      <c r="A28" s="14">
        <v>99.0</v>
      </c>
      <c r="B28" s="14">
        <v>228.0</v>
      </c>
      <c r="C28" s="17">
        <f t="shared" ref="C28:D28" si="100">H27</f>
        <v>29.98606405</v>
      </c>
      <c r="D28" s="17">
        <f t="shared" si="100"/>
        <v>2.000271994</v>
      </c>
      <c r="E28" s="17">
        <f t="shared" si="6"/>
        <v>228.0129915</v>
      </c>
      <c r="F28" s="21">
        <f t="shared" si="7"/>
        <v>0.02598299655</v>
      </c>
      <c r="G28" s="21">
        <f t="shared" si="8"/>
        <v>2.572316659</v>
      </c>
      <c r="H28" s="17">
        <f t="shared" ref="H28:I28" si="101">C28-J28*$D$2/SQRT(L28)</f>
        <v>29.98602907</v>
      </c>
      <c r="I28" s="17">
        <f t="shared" si="101"/>
        <v>2.000059247</v>
      </c>
      <c r="J28" s="14">
        <f t="shared" ref="J28:K28" si="102">J27*$J$1+$K$1*F28</f>
        <v>0.001545001004</v>
      </c>
      <c r="K28" s="14">
        <f t="shared" si="102"/>
        <v>0.7312030701</v>
      </c>
      <c r="L28" s="14">
        <f t="shared" ref="L28:M28" si="103">L27*$L$1+$M$1*F28^2</f>
        <v>0.02977227428</v>
      </c>
      <c r="M28" s="14">
        <f t="shared" si="103"/>
        <v>180.2472175</v>
      </c>
    </row>
    <row r="29" ht="15.75" customHeight="1">
      <c r="A29" s="14">
        <v>70.0</v>
      </c>
      <c r="B29" s="14">
        <v>170.0</v>
      </c>
      <c r="C29" s="17">
        <f t="shared" ref="C29:D29" si="104">H28</f>
        <v>29.98602907</v>
      </c>
      <c r="D29" s="17">
        <f t="shared" si="104"/>
        <v>2.000059247</v>
      </c>
      <c r="E29" s="17">
        <f t="shared" si="6"/>
        <v>169.9901764</v>
      </c>
      <c r="F29" s="21">
        <f t="shared" si="7"/>
        <v>-0.01964723501</v>
      </c>
      <c r="G29" s="21">
        <f t="shared" si="8"/>
        <v>-1.375306451</v>
      </c>
      <c r="H29" s="17">
        <f t="shared" ref="H29:I29" si="105">C29-J29*$D$2/SQRT(L29)</f>
        <v>29.98604241</v>
      </c>
      <c r="I29" s="17">
        <f t="shared" si="105"/>
        <v>1.999903898</v>
      </c>
      <c r="J29" s="14">
        <f t="shared" ref="J29:K29" si="106">J28*$J$1+$K$1*F29</f>
        <v>-0.0005742225971</v>
      </c>
      <c r="K29" s="14">
        <f t="shared" si="106"/>
        <v>0.520552118</v>
      </c>
      <c r="L29" s="14">
        <f t="shared" ref="L29:M29" si="107">L28*$L$1+$M$1*F29^2</f>
        <v>0.02830296126</v>
      </c>
      <c r="M29" s="14">
        <f t="shared" si="107"/>
        <v>171.32943</v>
      </c>
    </row>
    <row r="30" ht="15.75" customHeight="1">
      <c r="A30" s="14">
        <v>27.0</v>
      </c>
      <c r="B30" s="14">
        <v>84.0</v>
      </c>
      <c r="C30" s="17">
        <f t="shared" ref="C30:D30" si="108">H29</f>
        <v>29.98604241</v>
      </c>
      <c r="D30" s="17">
        <f t="shared" si="108"/>
        <v>1.999903898</v>
      </c>
      <c r="E30" s="17">
        <f t="shared" si="6"/>
        <v>83.98344766</v>
      </c>
      <c r="F30" s="21">
        <f t="shared" si="7"/>
        <v>-0.03310467615</v>
      </c>
      <c r="G30" s="21">
        <f t="shared" si="8"/>
        <v>-0.8938262562</v>
      </c>
      <c r="H30" s="17">
        <f t="shared" ref="H30:I30" si="109">C30-J30*$D$2/SQRT(L30)</f>
        <v>29.98613349</v>
      </c>
      <c r="I30" s="17">
        <f t="shared" si="109"/>
        <v>1.999787834</v>
      </c>
      <c r="J30" s="14">
        <f t="shared" ref="J30:K30" si="110">J29*$J$1+$K$1*F30</f>
        <v>-0.003827267953</v>
      </c>
      <c r="K30" s="14">
        <f t="shared" si="110"/>
        <v>0.3791142806</v>
      </c>
      <c r="L30" s="14">
        <f t="shared" ref="L30:M30" si="111">L29*$L$1+$M$1*F30^2</f>
        <v>0.02694260918</v>
      </c>
      <c r="M30" s="14">
        <f t="shared" si="111"/>
        <v>162.8029048</v>
      </c>
    </row>
    <row r="31" ht="15.75" customHeight="1">
      <c r="A31" s="14">
        <v>17.0</v>
      </c>
      <c r="B31" s="14">
        <v>64.0</v>
      </c>
      <c r="C31" s="17">
        <f t="shared" ref="C31:D31" si="112">H30</f>
        <v>29.98613349</v>
      </c>
      <c r="D31" s="17">
        <f t="shared" si="112"/>
        <v>1.999787834</v>
      </c>
      <c r="E31" s="17">
        <f t="shared" si="6"/>
        <v>63.98252666</v>
      </c>
      <c r="F31" s="21">
        <f t="shared" si="7"/>
        <v>-0.03494667055</v>
      </c>
      <c r="G31" s="21">
        <f t="shared" si="8"/>
        <v>-0.5940933993</v>
      </c>
      <c r="H31" s="17">
        <f t="shared" ref="H31:I31" si="113">C31-J31*$D$2/SQRT(L31)</f>
        <v>29.98630272</v>
      </c>
      <c r="I31" s="17">
        <f t="shared" si="113"/>
        <v>1.999699328</v>
      </c>
      <c r="J31" s="14">
        <f t="shared" ref="J31:K31" si="114">J30*$J$1+$K$1*F31</f>
        <v>-0.006939208212</v>
      </c>
      <c r="K31" s="14">
        <f t="shared" si="114"/>
        <v>0.2817935126</v>
      </c>
      <c r="L31" s="14">
        <f t="shared" ref="L31:M31" si="115">L30*$L$1+$M$1*F31^2</f>
        <v>0.02565654221</v>
      </c>
      <c r="M31" s="14">
        <f t="shared" si="115"/>
        <v>154.6804069</v>
      </c>
    </row>
    <row r="32" ht="15.75" customHeight="1">
      <c r="A32" s="14">
        <v>8.0</v>
      </c>
      <c r="B32" s="14">
        <v>46.0</v>
      </c>
      <c r="C32" s="17">
        <f t="shared" ref="C32:D32" si="116">H31</f>
        <v>29.98630272</v>
      </c>
      <c r="D32" s="17">
        <f t="shared" si="116"/>
        <v>1.999699328</v>
      </c>
      <c r="E32" s="17">
        <f t="shared" si="6"/>
        <v>45.98389734</v>
      </c>
      <c r="F32" s="21">
        <f t="shared" si="7"/>
        <v>-0.03220532418</v>
      </c>
      <c r="G32" s="21">
        <f t="shared" si="8"/>
        <v>-0.2576425934</v>
      </c>
      <c r="H32" s="17">
        <f t="shared" ref="H32:I32" si="117">C32-J32*$D$2/SQRT(L32)</f>
        <v>29.98653931</v>
      </c>
      <c r="I32" s="17">
        <f t="shared" si="117"/>
        <v>1.999625906</v>
      </c>
      <c r="J32" s="14">
        <f t="shared" ref="J32:K32" si="118">J31*$J$1+$K$1*F32</f>
        <v>-0.009465819809</v>
      </c>
      <c r="K32" s="14">
        <f t="shared" si="118"/>
        <v>0.227849902</v>
      </c>
      <c r="L32" s="14">
        <f t="shared" ref="L32:M32" si="119">L31*$L$1+$M$1*F32^2</f>
        <v>0.02442557424</v>
      </c>
      <c r="M32" s="14">
        <f t="shared" si="119"/>
        <v>146.9497055</v>
      </c>
    </row>
    <row r="33" ht="15.75" customHeight="1">
      <c r="A33" s="21"/>
      <c r="B33" s="21"/>
      <c r="C33" s="20"/>
      <c r="D33" s="20"/>
      <c r="E33" s="20"/>
      <c r="F33" s="21">
        <f t="shared" ref="F33:G33" si="120">SQRT(SUMSQ(F4:F32))/COUNT(F4:F32)</f>
        <v>0.03888848358</v>
      </c>
      <c r="G33" s="21">
        <f t="shared" si="120"/>
        <v>3.020596352</v>
      </c>
      <c r="H33" s="17"/>
      <c r="J33" s="14">
        <v>-0.04844194314192592</v>
      </c>
      <c r="K33" s="14">
        <v>-4.064202550984445</v>
      </c>
      <c r="L33" s="21">
        <v>0.02527589588662521</v>
      </c>
      <c r="M33" s="21">
        <v>161.89615404770484</v>
      </c>
      <c r="N33" s="17">
        <f>SQRT(L33)+SQRT(M33)</f>
        <v>12.8828259</v>
      </c>
      <c r="O33" s="25"/>
    </row>
    <row r="34" ht="15.75" customHeight="1">
      <c r="C34" s="20"/>
      <c r="D34" s="20"/>
      <c r="E34" s="20"/>
      <c r="F34" s="21"/>
      <c r="G34" s="21"/>
      <c r="K34" s="14">
        <f t="shared" ref="K34:L34" si="121">1/K3</f>
        <v>-0.2460507289</v>
      </c>
      <c r="L34" s="14">
        <f t="shared" si="121"/>
        <v>39.56338499</v>
      </c>
      <c r="N34" s="14">
        <f>adam_ann!avg_grad2/adam_ann!prev_grad2</f>
        <v>1.247576561</v>
      </c>
    </row>
    <row r="35" ht="15.75" customHeight="1">
      <c r="C35" s="20"/>
      <c r="D35" s="20"/>
      <c r="E35" s="20"/>
      <c r="F35" s="21"/>
      <c r="G35" s="21"/>
    </row>
    <row r="36" ht="15.75" customHeight="1">
      <c r="C36" s="20"/>
      <c r="D36" s="20"/>
      <c r="E36" s="20"/>
      <c r="F36" s="21"/>
      <c r="G36" s="21"/>
    </row>
    <row r="37" ht="15.75" customHeight="1">
      <c r="C37" s="20"/>
      <c r="D37" s="20"/>
      <c r="E37" s="20"/>
      <c r="F37" s="21"/>
      <c r="G37" s="21"/>
    </row>
    <row r="38" ht="15.75" customHeight="1">
      <c r="C38" s="20"/>
      <c r="D38" s="20"/>
      <c r="E38" s="20"/>
      <c r="F38" s="21"/>
      <c r="G38" s="21"/>
    </row>
    <row r="39" ht="15.75" customHeight="1">
      <c r="C39" s="20"/>
      <c r="D39" s="20"/>
      <c r="E39" s="20"/>
      <c r="F39" s="21"/>
      <c r="G39" s="21"/>
    </row>
    <row r="40" ht="15.75" customHeight="1">
      <c r="C40" s="20"/>
      <c r="D40" s="20"/>
      <c r="E40" s="20"/>
      <c r="F40" s="21"/>
      <c r="G40" s="21"/>
    </row>
    <row r="41" ht="15.75" customHeight="1">
      <c r="C41" s="20"/>
      <c r="D41" s="20"/>
      <c r="E41" s="20"/>
      <c r="F41" s="21"/>
      <c r="G41" s="21"/>
    </row>
    <row r="42" ht="15.75" customHeight="1">
      <c r="C42" s="20"/>
      <c r="D42" s="20"/>
      <c r="E42" s="20"/>
      <c r="F42" s="21"/>
      <c r="G42" s="21"/>
    </row>
    <row r="43" ht="15.75" customHeight="1">
      <c r="C43" s="20"/>
      <c r="D43" s="20"/>
      <c r="E43" s="20"/>
      <c r="F43" s="21"/>
      <c r="G43" s="21"/>
    </row>
    <row r="44" ht="15.75" customHeight="1">
      <c r="C44" s="20"/>
      <c r="D44" s="20"/>
      <c r="E44" s="20"/>
      <c r="F44" s="21"/>
      <c r="G44" s="21"/>
    </row>
    <row r="45" ht="15.75" customHeight="1">
      <c r="C45" s="20"/>
      <c r="D45" s="20"/>
      <c r="E45" s="20"/>
      <c r="F45" s="21"/>
      <c r="G45" s="21"/>
    </row>
    <row r="46" ht="15.75" customHeight="1">
      <c r="C46" s="20"/>
      <c r="D46" s="20"/>
      <c r="E46" s="20"/>
      <c r="F46" s="21"/>
      <c r="G46" s="21"/>
    </row>
    <row r="47" ht="15.75" customHeight="1">
      <c r="C47" s="20"/>
      <c r="D47" s="20"/>
      <c r="E47" s="20"/>
      <c r="F47" s="21"/>
      <c r="G47" s="21"/>
    </row>
    <row r="48" ht="15.75" customHeight="1">
      <c r="C48" s="20"/>
      <c r="D48" s="20"/>
      <c r="E48" s="20"/>
      <c r="F48" s="21"/>
      <c r="G48" s="21"/>
    </row>
    <row r="49" ht="15.75" customHeight="1">
      <c r="C49" s="20"/>
      <c r="D49" s="20"/>
      <c r="E49" s="20"/>
      <c r="F49" s="21"/>
      <c r="G49" s="21"/>
    </row>
    <row r="50" ht="15.75" customHeight="1">
      <c r="C50" s="20"/>
      <c r="D50" s="20"/>
      <c r="E50" s="20"/>
      <c r="F50" s="21"/>
      <c r="G50" s="21"/>
    </row>
    <row r="51" ht="15.75" customHeight="1">
      <c r="C51" s="20"/>
      <c r="D51" s="20"/>
      <c r="E51" s="20"/>
      <c r="F51" s="21"/>
      <c r="G51" s="21"/>
    </row>
    <row r="52" ht="15.75" customHeight="1">
      <c r="C52" s="20"/>
      <c r="D52" s="20"/>
      <c r="E52" s="20"/>
      <c r="F52" s="21"/>
      <c r="G52" s="21"/>
    </row>
    <row r="53" ht="15.75" customHeight="1">
      <c r="C53" s="20"/>
      <c r="D53" s="20"/>
      <c r="E53" s="20"/>
      <c r="F53" s="21"/>
      <c r="G53" s="21"/>
    </row>
    <row r="54" ht="15.75" customHeight="1">
      <c r="C54" s="20"/>
      <c r="D54" s="20"/>
      <c r="E54" s="20"/>
      <c r="F54" s="21"/>
      <c r="G54" s="21"/>
    </row>
    <row r="55" ht="15.75" customHeight="1">
      <c r="C55" s="20"/>
      <c r="D55" s="20"/>
      <c r="E55" s="20"/>
      <c r="F55" s="21"/>
      <c r="G55" s="21"/>
    </row>
    <row r="56" ht="15.75" customHeight="1">
      <c r="C56" s="20"/>
      <c r="D56" s="20"/>
      <c r="E56" s="20"/>
      <c r="F56" s="21"/>
      <c r="G56" s="21"/>
    </row>
    <row r="57" ht="15.75" customHeight="1">
      <c r="C57" s="20"/>
      <c r="D57" s="20"/>
      <c r="E57" s="20"/>
      <c r="F57" s="21"/>
      <c r="G57" s="21"/>
    </row>
    <row r="58" ht="15.75" customHeight="1">
      <c r="C58" s="20"/>
      <c r="D58" s="20"/>
      <c r="E58" s="20"/>
      <c r="F58" s="21"/>
      <c r="G58" s="21"/>
    </row>
    <row r="59" ht="15.75" customHeight="1">
      <c r="C59" s="20"/>
      <c r="D59" s="20"/>
      <c r="E59" s="20"/>
      <c r="F59" s="21"/>
      <c r="G59" s="21"/>
    </row>
    <row r="60" ht="15.75" customHeight="1">
      <c r="C60" s="20"/>
      <c r="D60" s="20"/>
      <c r="E60" s="20"/>
      <c r="F60" s="21"/>
      <c r="G60" s="21"/>
    </row>
    <row r="61" ht="15.75" customHeight="1">
      <c r="C61" s="20"/>
      <c r="D61" s="20"/>
      <c r="E61" s="20"/>
      <c r="F61" s="21"/>
      <c r="G61" s="21"/>
    </row>
    <row r="62" ht="15.75" customHeight="1">
      <c r="C62" s="20"/>
      <c r="D62" s="20"/>
      <c r="E62" s="20"/>
      <c r="F62" s="21"/>
      <c r="G62" s="21"/>
    </row>
    <row r="63" ht="15.75" customHeight="1">
      <c r="C63" s="20"/>
      <c r="D63" s="20"/>
      <c r="E63" s="20"/>
      <c r="F63" s="21"/>
      <c r="G63" s="21"/>
    </row>
    <row r="64" ht="15.75" customHeight="1">
      <c r="C64" s="20"/>
      <c r="D64" s="20"/>
      <c r="E64" s="20"/>
      <c r="F64" s="21"/>
      <c r="G64" s="21"/>
    </row>
    <row r="65" ht="15.75" customHeight="1">
      <c r="C65" s="20"/>
      <c r="D65" s="20"/>
      <c r="E65" s="20"/>
      <c r="F65" s="21"/>
      <c r="G65" s="21"/>
    </row>
    <row r="66" ht="15.75" customHeight="1">
      <c r="C66" s="20"/>
      <c r="D66" s="20"/>
      <c r="E66" s="20"/>
      <c r="F66" s="21"/>
      <c r="G66" s="21"/>
    </row>
    <row r="67" ht="15.75" customHeight="1">
      <c r="C67" s="20"/>
      <c r="D67" s="20"/>
      <c r="E67" s="20"/>
      <c r="F67" s="21"/>
      <c r="G67" s="21"/>
    </row>
    <row r="68" ht="15.75" customHeight="1">
      <c r="C68" s="20"/>
      <c r="D68" s="20"/>
      <c r="E68" s="20"/>
      <c r="F68" s="21"/>
      <c r="G68" s="21"/>
    </row>
    <row r="69" ht="15.75" customHeight="1">
      <c r="C69" s="20"/>
      <c r="D69" s="20"/>
      <c r="E69" s="20"/>
      <c r="F69" s="21"/>
      <c r="G69" s="21"/>
    </row>
    <row r="70" ht="15.75" customHeight="1">
      <c r="C70" s="20"/>
      <c r="D70" s="20"/>
      <c r="E70" s="20"/>
      <c r="F70" s="21"/>
      <c r="G70" s="21"/>
    </row>
    <row r="71" ht="15.75" customHeight="1">
      <c r="C71" s="20"/>
      <c r="D71" s="20"/>
      <c r="E71" s="20"/>
      <c r="F71" s="21"/>
      <c r="G71" s="21"/>
    </row>
    <row r="72" ht="15.75" customHeight="1">
      <c r="C72" s="20"/>
      <c r="D72" s="20"/>
      <c r="E72" s="20"/>
      <c r="F72" s="21"/>
      <c r="G72" s="21"/>
    </row>
    <row r="73" ht="15.75" customHeight="1">
      <c r="C73" s="20"/>
      <c r="D73" s="20"/>
      <c r="E73" s="20"/>
      <c r="F73" s="21"/>
      <c r="G73" s="21"/>
    </row>
    <row r="74" ht="15.75" customHeight="1">
      <c r="C74" s="20"/>
      <c r="D74" s="20"/>
      <c r="E74" s="20"/>
      <c r="F74" s="21"/>
      <c r="G74" s="21"/>
    </row>
    <row r="75" ht="15.75" customHeight="1">
      <c r="C75" s="20"/>
      <c r="D75" s="20"/>
      <c r="E75" s="20"/>
      <c r="F75" s="21"/>
      <c r="G75" s="21"/>
    </row>
    <row r="76" ht="15.75" customHeight="1">
      <c r="C76" s="20"/>
      <c r="D76" s="20"/>
      <c r="E76" s="20"/>
      <c r="F76" s="21"/>
      <c r="G76" s="21"/>
    </row>
    <row r="77" ht="15.75" customHeight="1">
      <c r="C77" s="20"/>
      <c r="D77" s="20"/>
      <c r="E77" s="20"/>
      <c r="F77" s="21"/>
      <c r="G77" s="21"/>
    </row>
    <row r="78" ht="15.75" customHeight="1">
      <c r="C78" s="20"/>
      <c r="D78" s="20"/>
      <c r="E78" s="20"/>
      <c r="F78" s="21"/>
      <c r="G78" s="21"/>
    </row>
    <row r="79" ht="15.75" customHeight="1">
      <c r="C79" s="20"/>
      <c r="D79" s="20"/>
      <c r="E79" s="20"/>
      <c r="F79" s="21"/>
      <c r="G79" s="21"/>
    </row>
    <row r="80" ht="15.75" customHeight="1">
      <c r="C80" s="20"/>
      <c r="D80" s="20"/>
      <c r="E80" s="20"/>
      <c r="F80" s="21"/>
      <c r="G80" s="21"/>
    </row>
    <row r="81" ht="15.75" customHeight="1">
      <c r="C81" s="20"/>
      <c r="D81" s="20"/>
      <c r="E81" s="20"/>
      <c r="F81" s="21"/>
      <c r="G81" s="21"/>
    </row>
    <row r="82" ht="15.75" customHeight="1">
      <c r="C82" s="20"/>
      <c r="D82" s="20"/>
      <c r="E82" s="20"/>
      <c r="F82" s="21"/>
      <c r="G82" s="21"/>
    </row>
    <row r="83" ht="15.75" customHeight="1">
      <c r="C83" s="20"/>
      <c r="D83" s="20"/>
      <c r="E83" s="20"/>
      <c r="F83" s="21"/>
      <c r="G83" s="21"/>
    </row>
    <row r="84" ht="15.75" customHeight="1">
      <c r="C84" s="20"/>
      <c r="D84" s="20"/>
      <c r="E84" s="20"/>
      <c r="F84" s="21"/>
      <c r="G84" s="21"/>
    </row>
    <row r="85" ht="15.75" customHeight="1">
      <c r="C85" s="20"/>
      <c r="D85" s="20"/>
      <c r="E85" s="20"/>
      <c r="F85" s="21"/>
      <c r="G85" s="21"/>
    </row>
    <row r="86" ht="15.75" customHeight="1">
      <c r="C86" s="20"/>
      <c r="D86" s="20"/>
      <c r="E86" s="20"/>
      <c r="F86" s="21"/>
      <c r="G86" s="21"/>
    </row>
    <row r="87" ht="15.75" customHeight="1">
      <c r="C87" s="20"/>
      <c r="D87" s="20"/>
      <c r="E87" s="20"/>
      <c r="F87" s="21"/>
      <c r="G87" s="21"/>
    </row>
    <row r="88" ht="15.75" customHeight="1">
      <c r="C88" s="20"/>
      <c r="D88" s="20"/>
      <c r="E88" s="20"/>
      <c r="F88" s="21"/>
      <c r="G88" s="21"/>
    </row>
    <row r="89" ht="15.75" customHeight="1">
      <c r="C89" s="20"/>
      <c r="D89" s="20"/>
      <c r="E89" s="20"/>
      <c r="F89" s="21"/>
      <c r="G89" s="21"/>
    </row>
    <row r="90" ht="15.75" customHeight="1">
      <c r="C90" s="20"/>
      <c r="D90" s="20"/>
      <c r="E90" s="20"/>
      <c r="F90" s="21"/>
      <c r="G90" s="21"/>
    </row>
    <row r="91" ht="15.75" customHeight="1">
      <c r="C91" s="20"/>
      <c r="D91" s="20"/>
      <c r="E91" s="20"/>
      <c r="F91" s="21"/>
      <c r="G91" s="21"/>
    </row>
    <row r="92" ht="15.75" customHeight="1">
      <c r="C92" s="20"/>
      <c r="D92" s="20"/>
      <c r="E92" s="20"/>
      <c r="F92" s="21"/>
      <c r="G92" s="21"/>
    </row>
    <row r="93" ht="15.75" customHeight="1">
      <c r="C93" s="20"/>
      <c r="D93" s="20"/>
      <c r="E93" s="20"/>
      <c r="F93" s="21"/>
      <c r="G93" s="21"/>
    </row>
    <row r="94" ht="15.75" customHeight="1">
      <c r="C94" s="20"/>
      <c r="D94" s="20"/>
      <c r="E94" s="20"/>
      <c r="F94" s="21"/>
      <c r="G94" s="21"/>
    </row>
    <row r="95" ht="15.75" customHeight="1">
      <c r="C95" s="20"/>
      <c r="D95" s="20"/>
      <c r="E95" s="20"/>
      <c r="F95" s="21"/>
      <c r="G95" s="21"/>
    </row>
    <row r="96" ht="15.75" customHeight="1">
      <c r="C96" s="20"/>
      <c r="D96" s="20"/>
      <c r="E96" s="20"/>
      <c r="F96" s="21"/>
      <c r="G96" s="21"/>
    </row>
    <row r="97" ht="15.75" customHeight="1">
      <c r="C97" s="20"/>
      <c r="D97" s="20"/>
      <c r="E97" s="20"/>
      <c r="F97" s="21"/>
      <c r="G97" s="21"/>
    </row>
    <row r="98" ht="15.75" customHeight="1">
      <c r="C98" s="20"/>
      <c r="D98" s="20"/>
      <c r="E98" s="20"/>
      <c r="F98" s="21"/>
      <c r="G98" s="21"/>
    </row>
    <row r="99" ht="15.75" customHeight="1">
      <c r="C99" s="20"/>
      <c r="D99" s="20"/>
      <c r="E99" s="20"/>
      <c r="F99" s="21"/>
      <c r="G99" s="21"/>
    </row>
    <row r="100" ht="15.75" customHeight="1">
      <c r="C100" s="20"/>
      <c r="D100" s="20"/>
      <c r="E100" s="20"/>
      <c r="F100" s="21"/>
      <c r="G100" s="21"/>
    </row>
    <row r="101" ht="15.75" customHeight="1">
      <c r="C101" s="20"/>
      <c r="D101" s="20"/>
      <c r="E101" s="20"/>
      <c r="F101" s="21"/>
      <c r="G101" s="21"/>
    </row>
    <row r="102" ht="15.75" customHeight="1">
      <c r="C102" s="20"/>
      <c r="D102" s="20"/>
      <c r="E102" s="20"/>
      <c r="F102" s="21"/>
      <c r="G102" s="21"/>
    </row>
    <row r="103" ht="15.75" customHeight="1">
      <c r="C103" s="20"/>
      <c r="D103" s="20"/>
      <c r="E103" s="20"/>
      <c r="F103" s="21"/>
      <c r="G103" s="21"/>
    </row>
    <row r="104" ht="15.75" customHeight="1">
      <c r="C104" s="20"/>
      <c r="D104" s="20"/>
      <c r="E104" s="20"/>
      <c r="F104" s="21"/>
      <c r="G104" s="21"/>
    </row>
    <row r="105" ht="15.75" customHeight="1">
      <c r="C105" s="20"/>
      <c r="D105" s="20"/>
      <c r="E105" s="20"/>
      <c r="F105" s="21"/>
      <c r="G105" s="21"/>
    </row>
    <row r="106" ht="15.75" customHeight="1">
      <c r="C106" s="20"/>
      <c r="D106" s="20"/>
      <c r="E106" s="20"/>
      <c r="F106" s="21"/>
      <c r="G106" s="21"/>
    </row>
    <row r="107" ht="15.75" customHeight="1">
      <c r="C107" s="20"/>
      <c r="D107" s="20"/>
      <c r="E107" s="20"/>
      <c r="F107" s="21"/>
      <c r="G107" s="21"/>
    </row>
    <row r="108" ht="15.75" customHeight="1">
      <c r="C108" s="20"/>
      <c r="D108" s="20"/>
      <c r="E108" s="20"/>
      <c r="F108" s="21"/>
      <c r="G108" s="21"/>
    </row>
    <row r="109" ht="15.75" customHeight="1">
      <c r="C109" s="20"/>
      <c r="D109" s="20"/>
      <c r="E109" s="20"/>
      <c r="F109" s="21"/>
      <c r="G109" s="21"/>
    </row>
    <row r="110" ht="15.75" customHeight="1">
      <c r="C110" s="20"/>
      <c r="D110" s="20"/>
      <c r="E110" s="20"/>
      <c r="F110" s="21"/>
      <c r="G110" s="21"/>
    </row>
    <row r="111" ht="15.75" customHeight="1">
      <c r="C111" s="20"/>
      <c r="D111" s="20"/>
      <c r="E111" s="20"/>
      <c r="F111" s="21"/>
      <c r="G111" s="21"/>
    </row>
    <row r="112" ht="15.75" customHeight="1">
      <c r="C112" s="20"/>
      <c r="D112" s="20"/>
      <c r="E112" s="20"/>
      <c r="F112" s="21"/>
      <c r="G112" s="21"/>
    </row>
    <row r="113" ht="15.75" customHeight="1">
      <c r="C113" s="20"/>
      <c r="D113" s="20"/>
      <c r="E113" s="20"/>
      <c r="F113" s="21"/>
      <c r="G113" s="21"/>
    </row>
    <row r="114" ht="15.75" customHeight="1">
      <c r="C114" s="20"/>
      <c r="D114" s="20"/>
      <c r="E114" s="20"/>
      <c r="F114" s="21"/>
      <c r="G114" s="21"/>
    </row>
    <row r="115" ht="15.75" customHeight="1">
      <c r="C115" s="20"/>
      <c r="D115" s="20"/>
      <c r="E115" s="20"/>
      <c r="F115" s="21"/>
      <c r="G115" s="21"/>
    </row>
    <row r="116" ht="15.75" customHeight="1">
      <c r="C116" s="20"/>
      <c r="D116" s="20"/>
      <c r="E116" s="20"/>
      <c r="F116" s="21"/>
      <c r="G116" s="21"/>
    </row>
    <row r="117" ht="15.75" customHeight="1">
      <c r="C117" s="20"/>
      <c r="D117" s="20"/>
      <c r="E117" s="20"/>
      <c r="F117" s="21"/>
      <c r="G117" s="21"/>
    </row>
    <row r="118" ht="15.75" customHeight="1">
      <c r="C118" s="20"/>
      <c r="D118" s="20"/>
      <c r="E118" s="20"/>
      <c r="F118" s="21"/>
      <c r="G118" s="21"/>
    </row>
    <row r="119" ht="15.75" customHeight="1">
      <c r="C119" s="20"/>
      <c r="D119" s="20"/>
      <c r="E119" s="20"/>
      <c r="F119" s="21"/>
      <c r="G119" s="21"/>
    </row>
    <row r="120" ht="15.75" customHeight="1">
      <c r="C120" s="20"/>
      <c r="D120" s="20"/>
      <c r="E120" s="20"/>
      <c r="F120" s="21"/>
      <c r="G120" s="21"/>
    </row>
    <row r="121" ht="15.75" customHeight="1">
      <c r="C121" s="20"/>
      <c r="D121" s="20"/>
      <c r="E121" s="20"/>
      <c r="F121" s="21"/>
      <c r="G121" s="21"/>
    </row>
    <row r="122" ht="15.75" customHeight="1">
      <c r="C122" s="20"/>
      <c r="D122" s="20"/>
      <c r="E122" s="20"/>
      <c r="F122" s="21"/>
      <c r="G122" s="21"/>
    </row>
    <row r="123" ht="15.75" customHeight="1">
      <c r="C123" s="20"/>
      <c r="D123" s="20"/>
      <c r="E123" s="20"/>
      <c r="F123" s="21"/>
      <c r="G123" s="21"/>
    </row>
    <row r="124" ht="15.75" customHeight="1">
      <c r="C124" s="20"/>
      <c r="D124" s="20"/>
      <c r="E124" s="20"/>
      <c r="F124" s="21"/>
      <c r="G124" s="21"/>
    </row>
    <row r="125" ht="15.75" customHeight="1">
      <c r="C125" s="20"/>
      <c r="D125" s="20"/>
      <c r="E125" s="20"/>
      <c r="F125" s="21"/>
      <c r="G125" s="21"/>
    </row>
    <row r="126" ht="15.75" customHeight="1">
      <c r="C126" s="20"/>
      <c r="D126" s="20"/>
      <c r="E126" s="20"/>
      <c r="F126" s="21"/>
      <c r="G126" s="21"/>
    </row>
    <row r="127" ht="15.75" customHeight="1">
      <c r="C127" s="20"/>
      <c r="D127" s="20"/>
      <c r="E127" s="20"/>
      <c r="F127" s="21"/>
      <c r="G127" s="21"/>
    </row>
    <row r="128" ht="15.75" customHeight="1">
      <c r="C128" s="20"/>
      <c r="D128" s="20"/>
      <c r="E128" s="20"/>
      <c r="F128" s="21"/>
      <c r="G128" s="21"/>
    </row>
    <row r="129" ht="15.75" customHeight="1">
      <c r="C129" s="20"/>
      <c r="D129" s="20"/>
      <c r="E129" s="20"/>
      <c r="F129" s="21"/>
      <c r="G129" s="21"/>
    </row>
    <row r="130" ht="15.75" customHeight="1">
      <c r="C130" s="20"/>
      <c r="D130" s="20"/>
      <c r="E130" s="20"/>
      <c r="F130" s="21"/>
      <c r="G130" s="21"/>
    </row>
    <row r="131" ht="15.75" customHeight="1">
      <c r="C131" s="20"/>
      <c r="D131" s="20"/>
      <c r="E131" s="20"/>
      <c r="F131" s="21"/>
      <c r="G131" s="21"/>
    </row>
    <row r="132" ht="15.75" customHeight="1">
      <c r="C132" s="20"/>
      <c r="D132" s="20"/>
      <c r="E132" s="20"/>
      <c r="F132" s="21"/>
      <c r="G132" s="21"/>
    </row>
    <row r="133" ht="15.75" customHeight="1">
      <c r="C133" s="20"/>
      <c r="D133" s="20"/>
      <c r="E133" s="20"/>
      <c r="F133" s="21"/>
      <c r="G133" s="21"/>
    </row>
    <row r="134" ht="15.75" customHeight="1">
      <c r="C134" s="20"/>
      <c r="D134" s="20"/>
      <c r="E134" s="20"/>
      <c r="F134" s="21"/>
      <c r="G134" s="21"/>
    </row>
    <row r="135" ht="15.75" customHeight="1">
      <c r="C135" s="20"/>
      <c r="D135" s="20"/>
      <c r="E135" s="20"/>
      <c r="F135" s="21"/>
      <c r="G135" s="21"/>
    </row>
    <row r="136" ht="15.75" customHeight="1">
      <c r="C136" s="20"/>
      <c r="D136" s="20"/>
      <c r="E136" s="20"/>
      <c r="F136" s="21"/>
      <c r="G136" s="21"/>
    </row>
    <row r="137" ht="15.75" customHeight="1">
      <c r="C137" s="20"/>
      <c r="D137" s="20"/>
      <c r="E137" s="20"/>
      <c r="F137" s="21"/>
      <c r="G137" s="21"/>
    </row>
    <row r="138" ht="15.75" customHeight="1">
      <c r="C138" s="20"/>
      <c r="D138" s="20"/>
      <c r="E138" s="20"/>
      <c r="F138" s="21"/>
      <c r="G138" s="21"/>
    </row>
    <row r="139" ht="15.75" customHeight="1">
      <c r="C139" s="20"/>
      <c r="D139" s="20"/>
      <c r="E139" s="20"/>
      <c r="F139" s="21"/>
      <c r="G139" s="21"/>
    </row>
    <row r="140" ht="15.75" customHeight="1">
      <c r="C140" s="20"/>
      <c r="D140" s="20"/>
      <c r="E140" s="20"/>
      <c r="F140" s="21"/>
      <c r="G140" s="21"/>
    </row>
    <row r="141" ht="15.75" customHeight="1">
      <c r="C141" s="20"/>
      <c r="D141" s="20"/>
      <c r="E141" s="20"/>
      <c r="F141" s="21"/>
      <c r="G141" s="21"/>
    </row>
    <row r="142" ht="15.75" customHeight="1">
      <c r="C142" s="20"/>
      <c r="D142" s="20"/>
      <c r="E142" s="20"/>
      <c r="F142" s="21"/>
      <c r="G142" s="21"/>
    </row>
    <row r="143" ht="15.75" customHeight="1">
      <c r="C143" s="20"/>
      <c r="D143" s="20"/>
      <c r="E143" s="20"/>
      <c r="F143" s="21"/>
      <c r="G143" s="21"/>
    </row>
    <row r="144" ht="15.75" customHeight="1">
      <c r="C144" s="20"/>
      <c r="D144" s="20"/>
      <c r="E144" s="20"/>
      <c r="F144" s="21"/>
      <c r="G144" s="21"/>
    </row>
    <row r="145" ht="15.75" customHeight="1">
      <c r="C145" s="20"/>
      <c r="D145" s="20"/>
      <c r="E145" s="20"/>
      <c r="F145" s="21"/>
      <c r="G145" s="21"/>
    </row>
    <row r="146" ht="15.75" customHeight="1">
      <c r="C146" s="20"/>
      <c r="D146" s="20"/>
      <c r="E146" s="20"/>
      <c r="F146" s="21"/>
      <c r="G146" s="21"/>
    </row>
    <row r="147" ht="15.75" customHeight="1">
      <c r="C147" s="20"/>
      <c r="D147" s="20"/>
      <c r="E147" s="20"/>
      <c r="F147" s="21"/>
      <c r="G147" s="21"/>
    </row>
    <row r="148" ht="15.75" customHeight="1">
      <c r="C148" s="20"/>
      <c r="D148" s="20"/>
      <c r="E148" s="20"/>
      <c r="F148" s="21"/>
      <c r="G148" s="21"/>
    </row>
    <row r="149" ht="15.75" customHeight="1">
      <c r="C149" s="20"/>
      <c r="D149" s="20"/>
      <c r="E149" s="20"/>
      <c r="F149" s="21"/>
      <c r="G149" s="21"/>
    </row>
    <row r="150" ht="15.75" customHeight="1">
      <c r="C150" s="20"/>
      <c r="D150" s="20"/>
      <c r="E150" s="20"/>
      <c r="F150" s="21"/>
      <c r="G150" s="21"/>
    </row>
    <row r="151" ht="15.75" customHeight="1">
      <c r="C151" s="20"/>
      <c r="D151" s="20"/>
      <c r="E151" s="20"/>
      <c r="F151" s="21"/>
      <c r="G151" s="21"/>
    </row>
    <row r="152" ht="15.75" customHeight="1">
      <c r="C152" s="20"/>
      <c r="D152" s="20"/>
      <c r="E152" s="20"/>
      <c r="F152" s="21"/>
      <c r="G152" s="21"/>
    </row>
    <row r="153" ht="15.75" customHeight="1">
      <c r="C153" s="20"/>
      <c r="D153" s="20"/>
      <c r="E153" s="20"/>
      <c r="F153" s="21"/>
      <c r="G153" s="21"/>
    </row>
    <row r="154" ht="15.75" customHeight="1">
      <c r="C154" s="20"/>
      <c r="D154" s="20"/>
      <c r="E154" s="20"/>
      <c r="F154" s="21"/>
      <c r="G154" s="21"/>
    </row>
    <row r="155" ht="15.75" customHeight="1">
      <c r="C155" s="20"/>
      <c r="D155" s="20"/>
      <c r="E155" s="20"/>
      <c r="F155" s="21"/>
      <c r="G155" s="21"/>
    </row>
    <row r="156" ht="15.75" customHeight="1">
      <c r="C156" s="20"/>
      <c r="D156" s="20"/>
      <c r="E156" s="20"/>
      <c r="F156" s="21"/>
      <c r="G156" s="21"/>
    </row>
    <row r="157" ht="15.75" customHeight="1">
      <c r="C157" s="20"/>
      <c r="D157" s="20"/>
      <c r="E157" s="20"/>
      <c r="F157" s="21"/>
      <c r="G157" s="21"/>
    </row>
    <row r="158" ht="15.75" customHeight="1">
      <c r="C158" s="20"/>
      <c r="D158" s="20"/>
      <c r="E158" s="20"/>
      <c r="F158" s="21"/>
      <c r="G158" s="21"/>
    </row>
    <row r="159" ht="15.75" customHeight="1">
      <c r="C159" s="20"/>
      <c r="D159" s="20"/>
      <c r="E159" s="20"/>
      <c r="F159" s="21"/>
      <c r="G159" s="21"/>
    </row>
    <row r="160" ht="15.75" customHeight="1">
      <c r="C160" s="20"/>
      <c r="D160" s="20"/>
      <c r="E160" s="20"/>
      <c r="F160" s="21"/>
      <c r="G160" s="21"/>
    </row>
    <row r="161" ht="15.75" customHeight="1">
      <c r="C161" s="20"/>
      <c r="D161" s="20"/>
      <c r="E161" s="20"/>
      <c r="F161" s="21"/>
      <c r="G161" s="21"/>
    </row>
    <row r="162" ht="15.75" customHeight="1">
      <c r="C162" s="20"/>
      <c r="D162" s="20"/>
      <c r="E162" s="20"/>
      <c r="F162" s="21"/>
      <c r="G162" s="21"/>
    </row>
    <row r="163" ht="15.75" customHeight="1">
      <c r="C163" s="20"/>
      <c r="D163" s="20"/>
      <c r="E163" s="20"/>
      <c r="F163" s="21"/>
      <c r="G163" s="21"/>
    </row>
    <row r="164" ht="15.75" customHeight="1">
      <c r="C164" s="20"/>
      <c r="D164" s="20"/>
      <c r="E164" s="20"/>
      <c r="F164" s="21"/>
      <c r="G164" s="21"/>
    </row>
    <row r="165" ht="15.75" customHeight="1">
      <c r="C165" s="20"/>
      <c r="D165" s="20"/>
      <c r="E165" s="20"/>
      <c r="F165" s="21"/>
      <c r="G165" s="21"/>
    </row>
    <row r="166" ht="15.75" customHeight="1">
      <c r="C166" s="20"/>
      <c r="D166" s="20"/>
      <c r="E166" s="20"/>
      <c r="F166" s="21"/>
      <c r="G166" s="21"/>
    </row>
    <row r="167" ht="15.75" customHeight="1">
      <c r="C167" s="20"/>
      <c r="D167" s="20"/>
      <c r="E167" s="20"/>
      <c r="F167" s="21"/>
      <c r="G167" s="21"/>
    </row>
    <row r="168" ht="15.75" customHeight="1">
      <c r="C168" s="20"/>
      <c r="D168" s="20"/>
      <c r="E168" s="20"/>
      <c r="F168" s="21"/>
      <c r="G168" s="21"/>
    </row>
    <row r="169" ht="15.75" customHeight="1">
      <c r="C169" s="20"/>
      <c r="D169" s="20"/>
      <c r="E169" s="20"/>
      <c r="F169" s="21"/>
      <c r="G169" s="21"/>
    </row>
    <row r="170" ht="15.75" customHeight="1">
      <c r="C170" s="20"/>
      <c r="D170" s="20"/>
      <c r="E170" s="20"/>
      <c r="F170" s="21"/>
      <c r="G170" s="21"/>
    </row>
    <row r="171" ht="15.75" customHeight="1">
      <c r="C171" s="20"/>
      <c r="D171" s="20"/>
      <c r="E171" s="20"/>
      <c r="F171" s="21"/>
      <c r="G171" s="21"/>
    </row>
    <row r="172" ht="15.75" customHeight="1">
      <c r="C172" s="20"/>
      <c r="D172" s="20"/>
      <c r="E172" s="20"/>
      <c r="F172" s="21"/>
      <c r="G172" s="21"/>
    </row>
    <row r="173" ht="15.75" customHeight="1">
      <c r="C173" s="20"/>
      <c r="D173" s="20"/>
      <c r="E173" s="20"/>
      <c r="F173" s="21"/>
      <c r="G173" s="21"/>
    </row>
    <row r="174" ht="15.75" customHeight="1">
      <c r="C174" s="20"/>
      <c r="D174" s="20"/>
      <c r="E174" s="20"/>
      <c r="F174" s="21"/>
      <c r="G174" s="21"/>
    </row>
    <row r="175" ht="15.75" customHeight="1">
      <c r="C175" s="20"/>
      <c r="D175" s="20"/>
      <c r="E175" s="20"/>
      <c r="F175" s="21"/>
      <c r="G175" s="21"/>
    </row>
    <row r="176" ht="15.75" customHeight="1">
      <c r="C176" s="20"/>
      <c r="D176" s="20"/>
      <c r="E176" s="20"/>
      <c r="F176" s="21"/>
      <c r="G176" s="21"/>
    </row>
    <row r="177" ht="15.75" customHeight="1">
      <c r="C177" s="20"/>
      <c r="D177" s="20"/>
      <c r="E177" s="20"/>
      <c r="F177" s="21"/>
      <c r="G177" s="21"/>
    </row>
    <row r="178" ht="15.75" customHeight="1">
      <c r="C178" s="20"/>
      <c r="D178" s="20"/>
      <c r="E178" s="20"/>
      <c r="F178" s="21"/>
      <c r="G178" s="21"/>
    </row>
    <row r="179" ht="15.75" customHeight="1">
      <c r="C179" s="20"/>
      <c r="D179" s="20"/>
      <c r="E179" s="20"/>
      <c r="F179" s="21"/>
      <c r="G179" s="21"/>
    </row>
    <row r="180" ht="15.75" customHeight="1">
      <c r="C180" s="20"/>
      <c r="D180" s="20"/>
      <c r="E180" s="20"/>
      <c r="F180" s="21"/>
      <c r="G180" s="21"/>
    </row>
    <row r="181" ht="15.75" customHeight="1">
      <c r="C181" s="20"/>
      <c r="D181" s="20"/>
      <c r="E181" s="20"/>
      <c r="F181" s="21"/>
      <c r="G181" s="21"/>
    </row>
    <row r="182" ht="15.75" customHeight="1">
      <c r="C182" s="20"/>
      <c r="D182" s="20"/>
      <c r="E182" s="20"/>
      <c r="F182" s="21"/>
      <c r="G182" s="21"/>
    </row>
    <row r="183" ht="15.75" customHeight="1">
      <c r="C183" s="20"/>
      <c r="D183" s="20"/>
      <c r="E183" s="20"/>
      <c r="F183" s="21"/>
      <c r="G183" s="21"/>
    </row>
    <row r="184" ht="15.75" customHeight="1">
      <c r="C184" s="20"/>
      <c r="D184" s="20"/>
      <c r="E184" s="20"/>
      <c r="F184" s="21"/>
      <c r="G184" s="21"/>
    </row>
    <row r="185" ht="15.75" customHeight="1">
      <c r="C185" s="20"/>
      <c r="D185" s="20"/>
      <c r="E185" s="20"/>
      <c r="F185" s="21"/>
      <c r="G185" s="21"/>
    </row>
    <row r="186" ht="15.75" customHeight="1">
      <c r="C186" s="20"/>
      <c r="D186" s="20"/>
      <c r="E186" s="20"/>
      <c r="F186" s="21"/>
      <c r="G186" s="21"/>
    </row>
    <row r="187" ht="15.75" customHeight="1">
      <c r="C187" s="20"/>
      <c r="D187" s="20"/>
      <c r="E187" s="20"/>
      <c r="F187" s="21"/>
      <c r="G187" s="21"/>
    </row>
    <row r="188" ht="15.75" customHeight="1">
      <c r="C188" s="20"/>
      <c r="D188" s="20"/>
      <c r="E188" s="20"/>
      <c r="F188" s="21"/>
      <c r="G188" s="21"/>
    </row>
    <row r="189" ht="15.75" customHeight="1">
      <c r="C189" s="20"/>
      <c r="D189" s="20"/>
      <c r="E189" s="20"/>
      <c r="F189" s="21"/>
      <c r="G189" s="21"/>
    </row>
    <row r="190" ht="15.75" customHeight="1">
      <c r="C190" s="20"/>
      <c r="D190" s="20"/>
      <c r="E190" s="20"/>
      <c r="F190" s="21"/>
      <c r="G190" s="21"/>
    </row>
    <row r="191" ht="15.75" customHeight="1">
      <c r="C191" s="20"/>
      <c r="D191" s="20"/>
      <c r="E191" s="20"/>
      <c r="F191" s="21"/>
      <c r="G191" s="21"/>
    </row>
    <row r="192" ht="15.75" customHeight="1">
      <c r="C192" s="20"/>
      <c r="D192" s="20"/>
      <c r="E192" s="20"/>
      <c r="F192" s="21"/>
      <c r="G192" s="21"/>
    </row>
    <row r="193" ht="15.75" customHeight="1">
      <c r="C193" s="20"/>
      <c r="D193" s="20"/>
      <c r="E193" s="20"/>
      <c r="F193" s="21"/>
      <c r="G193" s="21"/>
    </row>
    <row r="194" ht="15.75" customHeight="1">
      <c r="C194" s="20"/>
      <c r="D194" s="20"/>
      <c r="E194" s="20"/>
      <c r="F194" s="21"/>
      <c r="G194" s="21"/>
    </row>
    <row r="195" ht="15.75" customHeight="1">
      <c r="C195" s="20"/>
      <c r="D195" s="20"/>
      <c r="E195" s="20"/>
      <c r="F195" s="21"/>
      <c r="G195" s="21"/>
    </row>
    <row r="196" ht="15.75" customHeight="1">
      <c r="C196" s="20"/>
      <c r="D196" s="20"/>
      <c r="E196" s="20"/>
      <c r="F196" s="21"/>
      <c r="G196" s="21"/>
    </row>
    <row r="197" ht="15.75" customHeight="1">
      <c r="C197" s="20"/>
      <c r="D197" s="20"/>
      <c r="E197" s="20"/>
      <c r="F197" s="21"/>
      <c r="G197" s="21"/>
    </row>
    <row r="198" ht="15.75" customHeight="1">
      <c r="C198" s="20"/>
      <c r="D198" s="20"/>
      <c r="E198" s="20"/>
      <c r="F198" s="21"/>
      <c r="G198" s="21"/>
    </row>
    <row r="199" ht="15.75" customHeight="1">
      <c r="C199" s="20"/>
      <c r="D199" s="20"/>
      <c r="E199" s="20"/>
      <c r="F199" s="21"/>
      <c r="G199" s="21"/>
    </row>
    <row r="200" ht="15.75" customHeight="1">
      <c r="C200" s="20"/>
      <c r="D200" s="20"/>
      <c r="E200" s="20"/>
      <c r="F200" s="21"/>
      <c r="G200" s="21"/>
    </row>
    <row r="201" ht="15.75" customHeight="1">
      <c r="C201" s="20"/>
      <c r="D201" s="20"/>
      <c r="E201" s="20"/>
      <c r="F201" s="21"/>
      <c r="G201" s="21"/>
    </row>
    <row r="202" ht="15.75" customHeight="1">
      <c r="C202" s="20"/>
      <c r="D202" s="20"/>
      <c r="E202" s="20"/>
      <c r="F202" s="21"/>
      <c r="G202" s="21"/>
    </row>
    <row r="203" ht="15.75" customHeight="1">
      <c r="C203" s="20"/>
      <c r="D203" s="20"/>
      <c r="E203" s="20"/>
      <c r="F203" s="21"/>
      <c r="G203" s="21"/>
    </row>
    <row r="204" ht="15.75" customHeight="1">
      <c r="C204" s="20"/>
      <c r="D204" s="20"/>
      <c r="E204" s="20"/>
      <c r="F204" s="21"/>
      <c r="G204" s="21"/>
    </row>
    <row r="205" ht="15.75" customHeight="1">
      <c r="C205" s="20"/>
      <c r="D205" s="20"/>
      <c r="E205" s="20"/>
      <c r="F205" s="21"/>
      <c r="G205" s="21"/>
    </row>
    <row r="206" ht="15.75" customHeight="1">
      <c r="C206" s="20"/>
      <c r="D206" s="20"/>
      <c r="E206" s="20"/>
      <c r="F206" s="21"/>
      <c r="G206" s="21"/>
    </row>
    <row r="207" ht="15.75" customHeight="1">
      <c r="C207" s="20"/>
      <c r="D207" s="20"/>
      <c r="E207" s="20"/>
      <c r="F207" s="21"/>
      <c r="G207" s="21"/>
    </row>
    <row r="208" ht="15.75" customHeight="1">
      <c r="C208" s="20"/>
      <c r="D208" s="20"/>
      <c r="E208" s="20"/>
      <c r="F208" s="21"/>
      <c r="G208" s="21"/>
    </row>
    <row r="209" ht="15.75" customHeight="1">
      <c r="C209" s="20"/>
      <c r="D209" s="20"/>
      <c r="E209" s="20"/>
      <c r="F209" s="21"/>
      <c r="G209" s="21"/>
    </row>
    <row r="210" ht="15.75" customHeight="1">
      <c r="C210" s="20"/>
      <c r="D210" s="20"/>
      <c r="E210" s="20"/>
      <c r="F210" s="21"/>
      <c r="G210" s="21"/>
    </row>
    <row r="211" ht="15.75" customHeight="1">
      <c r="C211" s="20"/>
      <c r="D211" s="20"/>
      <c r="E211" s="20"/>
      <c r="F211" s="21"/>
      <c r="G211" s="21"/>
    </row>
    <row r="212" ht="15.75" customHeight="1">
      <c r="C212" s="20"/>
      <c r="D212" s="20"/>
      <c r="E212" s="20"/>
      <c r="F212" s="21"/>
      <c r="G212" s="21"/>
    </row>
    <row r="213" ht="15.75" customHeight="1">
      <c r="C213" s="20"/>
      <c r="D213" s="20"/>
      <c r="E213" s="20"/>
      <c r="F213" s="21"/>
      <c r="G213" s="21"/>
    </row>
    <row r="214" ht="15.75" customHeight="1">
      <c r="C214" s="20"/>
      <c r="D214" s="20"/>
      <c r="E214" s="20"/>
      <c r="F214" s="21"/>
      <c r="G214" s="21"/>
    </row>
    <row r="215" ht="15.75" customHeight="1">
      <c r="C215" s="20"/>
      <c r="D215" s="20"/>
      <c r="E215" s="20"/>
      <c r="F215" s="21"/>
      <c r="G215" s="21"/>
    </row>
    <row r="216" ht="15.75" customHeight="1">
      <c r="C216" s="20"/>
      <c r="D216" s="20"/>
      <c r="E216" s="20"/>
      <c r="F216" s="21"/>
      <c r="G216" s="21"/>
    </row>
    <row r="217" ht="15.75" customHeight="1">
      <c r="C217" s="20"/>
      <c r="D217" s="20"/>
      <c r="E217" s="20"/>
      <c r="F217" s="21"/>
      <c r="G217" s="21"/>
    </row>
    <row r="218" ht="15.75" customHeight="1">
      <c r="C218" s="20"/>
      <c r="D218" s="20"/>
      <c r="E218" s="20"/>
      <c r="F218" s="21"/>
      <c r="G218" s="21"/>
    </row>
    <row r="219" ht="15.75" customHeight="1">
      <c r="C219" s="20"/>
      <c r="D219" s="20"/>
      <c r="E219" s="20"/>
      <c r="F219" s="21"/>
      <c r="G219" s="21"/>
    </row>
    <row r="220" ht="15.75" customHeight="1">
      <c r="C220" s="20"/>
      <c r="D220" s="20"/>
      <c r="E220" s="20"/>
      <c r="F220" s="21"/>
      <c r="G220" s="21"/>
    </row>
    <row r="221" ht="15.75" customHeight="1">
      <c r="C221" s="20"/>
      <c r="D221" s="20"/>
      <c r="E221" s="20"/>
      <c r="F221" s="21"/>
      <c r="G221" s="21"/>
    </row>
    <row r="222" ht="15.75" customHeight="1">
      <c r="C222" s="20"/>
      <c r="D222" s="20"/>
      <c r="E222" s="20"/>
      <c r="F222" s="21"/>
      <c r="G222" s="21"/>
    </row>
    <row r="223" ht="15.75" customHeight="1">
      <c r="C223" s="20"/>
      <c r="D223" s="20"/>
      <c r="E223" s="20"/>
      <c r="F223" s="21"/>
      <c r="G223" s="21"/>
    </row>
    <row r="224" ht="15.75" customHeight="1">
      <c r="C224" s="20"/>
      <c r="D224" s="20"/>
      <c r="E224" s="20"/>
      <c r="F224" s="21"/>
      <c r="G224" s="21"/>
    </row>
    <row r="225" ht="15.75" customHeight="1">
      <c r="C225" s="20"/>
      <c r="D225" s="20"/>
      <c r="E225" s="20"/>
      <c r="F225" s="21"/>
      <c r="G225" s="21"/>
    </row>
    <row r="226" ht="15.75" customHeight="1">
      <c r="C226" s="20"/>
      <c r="D226" s="20"/>
      <c r="E226" s="20"/>
      <c r="F226" s="21"/>
      <c r="G226" s="21"/>
    </row>
    <row r="227" ht="15.75" customHeight="1">
      <c r="C227" s="20"/>
      <c r="D227" s="20"/>
      <c r="E227" s="20"/>
      <c r="F227" s="21"/>
      <c r="G227" s="21"/>
    </row>
    <row r="228" ht="15.75" customHeight="1">
      <c r="C228" s="20"/>
      <c r="D228" s="20"/>
      <c r="E228" s="20"/>
      <c r="F228" s="21"/>
      <c r="G228" s="21"/>
    </row>
    <row r="229" ht="15.75" customHeight="1">
      <c r="C229" s="20"/>
      <c r="D229" s="20"/>
      <c r="E229" s="20"/>
      <c r="F229" s="21"/>
      <c r="G229" s="21"/>
    </row>
    <row r="230" ht="15.75" customHeight="1">
      <c r="C230" s="20"/>
      <c r="D230" s="20"/>
      <c r="E230" s="20"/>
      <c r="F230" s="21"/>
      <c r="G230" s="21"/>
    </row>
    <row r="231" ht="15.75" customHeight="1">
      <c r="C231" s="20"/>
      <c r="D231" s="20"/>
      <c r="E231" s="20"/>
      <c r="F231" s="21"/>
      <c r="G231" s="21"/>
    </row>
    <row r="232" ht="15.75" customHeight="1">
      <c r="C232" s="20"/>
      <c r="D232" s="20"/>
      <c r="E232" s="20"/>
      <c r="F232" s="21"/>
      <c r="G232" s="21"/>
    </row>
    <row r="233" ht="15.75" customHeight="1">
      <c r="C233" s="20"/>
      <c r="D233" s="20"/>
      <c r="E233" s="20"/>
      <c r="F233" s="21"/>
      <c r="G233" s="21"/>
    </row>
    <row r="234" ht="15.75" customHeight="1">
      <c r="C234" s="20"/>
      <c r="D234" s="20"/>
      <c r="E234" s="20"/>
      <c r="F234" s="21"/>
      <c r="G234" s="21"/>
    </row>
    <row r="235" ht="15.75" customHeight="1">
      <c r="C235" s="20"/>
      <c r="D235" s="20"/>
      <c r="E235" s="20"/>
      <c r="F235" s="21"/>
      <c r="G235" s="21"/>
    </row>
    <row r="236" ht="15.75" customHeight="1">
      <c r="C236" s="20"/>
      <c r="D236" s="20"/>
      <c r="E236" s="20"/>
      <c r="F236" s="21"/>
      <c r="G236" s="21"/>
    </row>
    <row r="237" ht="15.75" customHeight="1">
      <c r="C237" s="20"/>
      <c r="D237" s="20"/>
      <c r="E237" s="20"/>
      <c r="F237" s="21"/>
      <c r="G237" s="21"/>
    </row>
    <row r="238" ht="15.75" customHeight="1">
      <c r="C238" s="20"/>
      <c r="D238" s="20"/>
      <c r="E238" s="20"/>
      <c r="F238" s="21"/>
      <c r="G238" s="21"/>
    </row>
    <row r="239" ht="15.75" customHeight="1">
      <c r="C239" s="20"/>
      <c r="D239" s="20"/>
      <c r="E239" s="20"/>
      <c r="F239" s="21"/>
      <c r="G239" s="21"/>
    </row>
    <row r="240" ht="15.75" customHeight="1">
      <c r="C240" s="20"/>
      <c r="D240" s="20"/>
      <c r="E240" s="20"/>
      <c r="F240" s="21"/>
      <c r="G240" s="21"/>
    </row>
    <row r="241" ht="15.75" customHeight="1">
      <c r="C241" s="20"/>
      <c r="D241" s="20"/>
      <c r="E241" s="20"/>
      <c r="F241" s="21"/>
      <c r="G241" s="21"/>
    </row>
    <row r="242" ht="15.75" customHeight="1">
      <c r="C242" s="20"/>
      <c r="D242" s="20"/>
      <c r="E242" s="20"/>
      <c r="F242" s="21"/>
      <c r="G242" s="21"/>
    </row>
    <row r="243" ht="15.75" customHeight="1">
      <c r="C243" s="20"/>
      <c r="D243" s="20"/>
      <c r="E243" s="20"/>
      <c r="F243" s="21"/>
      <c r="G243" s="21"/>
    </row>
    <row r="244" ht="15.75" customHeight="1">
      <c r="C244" s="20"/>
      <c r="D244" s="20"/>
      <c r="E244" s="20"/>
      <c r="F244" s="21"/>
      <c r="G244" s="21"/>
    </row>
    <row r="245" ht="15.75" customHeight="1">
      <c r="C245" s="20"/>
      <c r="D245" s="20"/>
      <c r="E245" s="20"/>
      <c r="F245" s="21"/>
      <c r="G245" s="21"/>
    </row>
    <row r="246" ht="15.75" customHeight="1">
      <c r="C246" s="20"/>
      <c r="D246" s="20"/>
      <c r="E246" s="20"/>
      <c r="F246" s="21"/>
      <c r="G246" s="21"/>
    </row>
    <row r="247" ht="15.75" customHeight="1">
      <c r="C247" s="20"/>
      <c r="D247" s="20"/>
      <c r="E247" s="20"/>
      <c r="F247" s="21"/>
      <c r="G247" s="21"/>
    </row>
    <row r="248" ht="15.75" customHeight="1">
      <c r="C248" s="20"/>
      <c r="D248" s="20"/>
      <c r="E248" s="20"/>
      <c r="F248" s="21"/>
      <c r="G248" s="21"/>
    </row>
    <row r="249" ht="15.75" customHeight="1">
      <c r="C249" s="20"/>
      <c r="D249" s="20"/>
      <c r="E249" s="20"/>
      <c r="F249" s="21"/>
      <c r="G249" s="21"/>
    </row>
    <row r="250" ht="15.75" customHeight="1">
      <c r="C250" s="20"/>
      <c r="D250" s="20"/>
      <c r="E250" s="20"/>
      <c r="F250" s="21"/>
      <c r="G250" s="21"/>
    </row>
    <row r="251" ht="15.75" customHeight="1">
      <c r="C251" s="20"/>
      <c r="D251" s="20"/>
      <c r="E251" s="20"/>
      <c r="F251" s="21"/>
      <c r="G251" s="21"/>
    </row>
    <row r="252" ht="15.75" customHeight="1">
      <c r="C252" s="20"/>
      <c r="D252" s="20"/>
      <c r="E252" s="20"/>
      <c r="F252" s="21"/>
      <c r="G252" s="21"/>
    </row>
    <row r="253" ht="15.75" customHeight="1">
      <c r="C253" s="20"/>
      <c r="D253" s="20"/>
      <c r="E253" s="20"/>
      <c r="F253" s="21"/>
      <c r="G253" s="21"/>
    </row>
    <row r="254" ht="15.75" customHeight="1">
      <c r="C254" s="20"/>
      <c r="D254" s="20"/>
      <c r="E254" s="20"/>
      <c r="F254" s="21"/>
      <c r="G254" s="21"/>
    </row>
    <row r="255" ht="15.75" customHeight="1">
      <c r="C255" s="20"/>
      <c r="D255" s="20"/>
      <c r="E255" s="20"/>
      <c r="F255" s="21"/>
      <c r="G255" s="21"/>
    </row>
    <row r="256" ht="15.75" customHeight="1">
      <c r="C256" s="20"/>
      <c r="D256" s="20"/>
      <c r="E256" s="20"/>
      <c r="F256" s="21"/>
      <c r="G256" s="21"/>
    </row>
    <row r="257" ht="15.75" customHeight="1">
      <c r="C257" s="20"/>
      <c r="D257" s="20"/>
      <c r="E257" s="20"/>
      <c r="F257" s="21"/>
      <c r="G257" s="21"/>
    </row>
    <row r="258" ht="15.75" customHeight="1">
      <c r="C258" s="20"/>
      <c r="D258" s="20"/>
      <c r="E258" s="20"/>
      <c r="F258" s="21"/>
      <c r="G258" s="21"/>
    </row>
    <row r="259" ht="15.75" customHeight="1">
      <c r="C259" s="20"/>
      <c r="D259" s="20"/>
      <c r="E259" s="20"/>
      <c r="F259" s="21"/>
      <c r="G259" s="21"/>
    </row>
    <row r="260" ht="15.75" customHeight="1">
      <c r="C260" s="20"/>
      <c r="D260" s="20"/>
      <c r="E260" s="20"/>
      <c r="F260" s="21"/>
      <c r="G260" s="21"/>
    </row>
    <row r="261" ht="15.75" customHeight="1">
      <c r="C261" s="20"/>
      <c r="D261" s="20"/>
      <c r="E261" s="20"/>
      <c r="F261" s="21"/>
      <c r="G261" s="21"/>
    </row>
    <row r="262" ht="15.75" customHeight="1">
      <c r="C262" s="20"/>
      <c r="D262" s="20"/>
      <c r="E262" s="20"/>
      <c r="F262" s="21"/>
      <c r="G262" s="21"/>
    </row>
    <row r="263" ht="15.75" customHeight="1">
      <c r="C263" s="20"/>
      <c r="D263" s="20"/>
      <c r="E263" s="20"/>
      <c r="F263" s="21"/>
      <c r="G263" s="21"/>
    </row>
    <row r="264" ht="15.75" customHeight="1">
      <c r="C264" s="20"/>
      <c r="D264" s="20"/>
      <c r="E264" s="20"/>
      <c r="F264" s="21"/>
      <c r="G264" s="21"/>
    </row>
    <row r="265" ht="15.75" customHeight="1">
      <c r="C265" s="20"/>
      <c r="D265" s="20"/>
      <c r="E265" s="20"/>
      <c r="F265" s="21"/>
      <c r="G265" s="21"/>
    </row>
    <row r="266" ht="15.75" customHeight="1">
      <c r="C266" s="20"/>
      <c r="D266" s="20"/>
      <c r="E266" s="20"/>
      <c r="F266" s="21"/>
      <c r="G266" s="21"/>
    </row>
    <row r="267" ht="15.75" customHeight="1">
      <c r="C267" s="20"/>
      <c r="D267" s="20"/>
      <c r="E267" s="20"/>
      <c r="F267" s="21"/>
      <c r="G267" s="21"/>
    </row>
    <row r="268" ht="15.75" customHeight="1">
      <c r="C268" s="20"/>
      <c r="D268" s="20"/>
      <c r="E268" s="20"/>
      <c r="F268" s="21"/>
      <c r="G268" s="21"/>
    </row>
    <row r="269" ht="15.75" customHeight="1">
      <c r="C269" s="20"/>
      <c r="D269" s="20"/>
      <c r="E269" s="20"/>
      <c r="F269" s="21"/>
      <c r="G269" s="21"/>
    </row>
    <row r="270" ht="15.75" customHeight="1">
      <c r="C270" s="20"/>
      <c r="D270" s="20"/>
      <c r="E270" s="20"/>
      <c r="F270" s="21"/>
      <c r="G270" s="21"/>
    </row>
    <row r="271" ht="15.75" customHeight="1">
      <c r="C271" s="20"/>
      <c r="D271" s="20"/>
      <c r="E271" s="20"/>
      <c r="F271" s="21"/>
      <c r="G271" s="21"/>
    </row>
    <row r="272" ht="15.75" customHeight="1">
      <c r="C272" s="20"/>
      <c r="D272" s="20"/>
      <c r="E272" s="20"/>
      <c r="F272" s="21"/>
      <c r="G272" s="21"/>
    </row>
    <row r="273" ht="15.75" customHeight="1">
      <c r="C273" s="20"/>
      <c r="D273" s="20"/>
      <c r="E273" s="20"/>
      <c r="F273" s="21"/>
      <c r="G273" s="21"/>
    </row>
    <row r="274" ht="15.75" customHeight="1">
      <c r="C274" s="20"/>
      <c r="D274" s="20"/>
      <c r="E274" s="20"/>
      <c r="F274" s="21"/>
      <c r="G274" s="21"/>
    </row>
    <row r="275" ht="15.75" customHeight="1">
      <c r="C275" s="20"/>
      <c r="D275" s="20"/>
      <c r="E275" s="20"/>
      <c r="F275" s="21"/>
      <c r="G275" s="21"/>
    </row>
    <row r="276" ht="15.75" customHeight="1">
      <c r="C276" s="20"/>
      <c r="D276" s="20"/>
      <c r="E276" s="20"/>
      <c r="F276" s="21"/>
      <c r="G276" s="21"/>
    </row>
    <row r="277" ht="15.75" customHeight="1">
      <c r="C277" s="20"/>
      <c r="D277" s="20"/>
      <c r="E277" s="20"/>
      <c r="F277" s="21"/>
      <c r="G277" s="21"/>
    </row>
    <row r="278" ht="15.75" customHeight="1">
      <c r="C278" s="20"/>
      <c r="D278" s="20"/>
      <c r="E278" s="20"/>
      <c r="F278" s="21"/>
      <c r="G278" s="21"/>
    </row>
    <row r="279" ht="15.75" customHeight="1">
      <c r="C279" s="20"/>
      <c r="D279" s="20"/>
      <c r="E279" s="20"/>
      <c r="F279" s="21"/>
      <c r="G279" s="21"/>
    </row>
    <row r="280" ht="15.75" customHeight="1">
      <c r="C280" s="20"/>
      <c r="D280" s="20"/>
      <c r="E280" s="20"/>
      <c r="F280" s="21"/>
      <c r="G280" s="21"/>
    </row>
    <row r="281" ht="15.75" customHeight="1">
      <c r="C281" s="20"/>
      <c r="D281" s="20"/>
      <c r="E281" s="20"/>
      <c r="F281" s="21"/>
      <c r="G281" s="21"/>
    </row>
    <row r="282" ht="15.75" customHeight="1">
      <c r="C282" s="20"/>
      <c r="D282" s="20"/>
      <c r="E282" s="20"/>
      <c r="F282" s="21"/>
      <c r="G282" s="21"/>
    </row>
    <row r="283" ht="15.75" customHeight="1">
      <c r="C283" s="20"/>
      <c r="D283" s="20"/>
      <c r="E283" s="20"/>
      <c r="F283" s="21"/>
      <c r="G283" s="21"/>
    </row>
    <row r="284" ht="15.75" customHeight="1">
      <c r="C284" s="20"/>
      <c r="D284" s="20"/>
      <c r="E284" s="20"/>
      <c r="F284" s="21"/>
      <c r="G284" s="21"/>
    </row>
    <row r="285" ht="15.75" customHeight="1">
      <c r="C285" s="20"/>
      <c r="D285" s="20"/>
      <c r="E285" s="20"/>
      <c r="F285" s="21"/>
      <c r="G285" s="21"/>
    </row>
    <row r="286" ht="15.75" customHeight="1">
      <c r="C286" s="20"/>
      <c r="D286" s="20"/>
      <c r="E286" s="20"/>
      <c r="F286" s="21"/>
      <c r="G286" s="21"/>
    </row>
    <row r="287" ht="15.75" customHeight="1">
      <c r="C287" s="20"/>
      <c r="D287" s="20"/>
      <c r="E287" s="20"/>
      <c r="F287" s="21"/>
      <c r="G287" s="21"/>
    </row>
    <row r="288" ht="15.75" customHeight="1">
      <c r="C288" s="20"/>
      <c r="D288" s="20"/>
      <c r="E288" s="20"/>
      <c r="F288" s="21"/>
      <c r="G288" s="21"/>
    </row>
    <row r="289" ht="15.75" customHeight="1">
      <c r="C289" s="20"/>
      <c r="D289" s="20"/>
      <c r="E289" s="20"/>
      <c r="F289" s="21"/>
      <c r="G289" s="21"/>
    </row>
    <row r="290" ht="15.75" customHeight="1">
      <c r="C290" s="20"/>
      <c r="D290" s="20"/>
      <c r="E290" s="20"/>
      <c r="F290" s="21"/>
      <c r="G290" s="21"/>
    </row>
    <row r="291" ht="15.75" customHeight="1">
      <c r="C291" s="20"/>
      <c r="D291" s="20"/>
      <c r="E291" s="20"/>
      <c r="F291" s="21"/>
      <c r="G291" s="21"/>
    </row>
    <row r="292" ht="15.75" customHeight="1">
      <c r="C292" s="20"/>
      <c r="D292" s="20"/>
      <c r="E292" s="20"/>
      <c r="F292" s="21"/>
      <c r="G292" s="21"/>
    </row>
    <row r="293" ht="15.75" customHeight="1">
      <c r="C293" s="20"/>
      <c r="D293" s="20"/>
      <c r="E293" s="20"/>
      <c r="F293" s="21"/>
      <c r="G293" s="21"/>
    </row>
    <row r="294" ht="15.75" customHeight="1">
      <c r="C294" s="20"/>
      <c r="D294" s="20"/>
      <c r="E294" s="20"/>
      <c r="F294" s="21"/>
      <c r="G294" s="21"/>
    </row>
    <row r="295" ht="15.75" customHeight="1">
      <c r="C295" s="20"/>
      <c r="D295" s="20"/>
      <c r="E295" s="20"/>
      <c r="F295" s="21"/>
      <c r="G295" s="21"/>
    </row>
    <row r="296" ht="15.75" customHeight="1">
      <c r="C296" s="20"/>
      <c r="D296" s="20"/>
      <c r="E296" s="20"/>
      <c r="F296" s="21"/>
      <c r="G296" s="21"/>
    </row>
    <row r="297" ht="15.75" customHeight="1">
      <c r="C297" s="20"/>
      <c r="D297" s="20"/>
      <c r="E297" s="20"/>
      <c r="F297" s="21"/>
      <c r="G297" s="21"/>
    </row>
    <row r="298" ht="15.75" customHeight="1">
      <c r="C298" s="20"/>
      <c r="D298" s="20"/>
      <c r="E298" s="20"/>
      <c r="F298" s="21"/>
      <c r="G298" s="21"/>
    </row>
    <row r="299" ht="15.75" customHeight="1">
      <c r="C299" s="20"/>
      <c r="D299" s="20"/>
      <c r="E299" s="20"/>
      <c r="F299" s="21"/>
      <c r="G299" s="21"/>
    </row>
    <row r="300" ht="15.75" customHeight="1">
      <c r="C300" s="20"/>
      <c r="D300" s="20"/>
      <c r="E300" s="20"/>
      <c r="F300" s="21"/>
      <c r="G300" s="21"/>
    </row>
    <row r="301" ht="15.75" customHeight="1">
      <c r="C301" s="20"/>
      <c r="D301" s="20"/>
      <c r="E301" s="20"/>
      <c r="F301" s="21"/>
      <c r="G301" s="21"/>
    </row>
    <row r="302" ht="15.75" customHeight="1">
      <c r="C302" s="20"/>
      <c r="D302" s="20"/>
      <c r="E302" s="20"/>
      <c r="F302" s="21"/>
      <c r="G302" s="21"/>
    </row>
    <row r="303" ht="15.75" customHeight="1">
      <c r="C303" s="20"/>
      <c r="D303" s="20"/>
      <c r="E303" s="20"/>
      <c r="F303" s="21"/>
      <c r="G303" s="21"/>
    </row>
    <row r="304" ht="15.75" customHeight="1">
      <c r="C304" s="20"/>
      <c r="D304" s="20"/>
      <c r="E304" s="20"/>
      <c r="F304" s="21"/>
      <c r="G304" s="21"/>
    </row>
    <row r="305" ht="15.75" customHeight="1">
      <c r="C305" s="20"/>
      <c r="D305" s="20"/>
      <c r="E305" s="20"/>
      <c r="F305" s="21"/>
      <c r="G305" s="21"/>
    </row>
    <row r="306" ht="15.75" customHeight="1">
      <c r="C306" s="20"/>
      <c r="D306" s="20"/>
      <c r="E306" s="20"/>
      <c r="F306" s="21"/>
      <c r="G306" s="21"/>
    </row>
    <row r="307" ht="15.75" customHeight="1">
      <c r="C307" s="20"/>
      <c r="D307" s="20"/>
      <c r="E307" s="20"/>
      <c r="F307" s="21"/>
      <c r="G307" s="21"/>
    </row>
    <row r="308" ht="15.75" customHeight="1">
      <c r="C308" s="20"/>
      <c r="D308" s="20"/>
      <c r="E308" s="20"/>
      <c r="F308" s="21"/>
      <c r="G308" s="21"/>
    </row>
    <row r="309" ht="15.75" customHeight="1">
      <c r="C309" s="20"/>
      <c r="D309" s="20"/>
      <c r="E309" s="20"/>
      <c r="F309" s="21"/>
      <c r="G309" s="21"/>
    </row>
    <row r="310" ht="15.75" customHeight="1">
      <c r="C310" s="20"/>
      <c r="D310" s="20"/>
      <c r="E310" s="20"/>
      <c r="F310" s="21"/>
      <c r="G310" s="21"/>
    </row>
    <row r="311" ht="15.75" customHeight="1">
      <c r="C311" s="20"/>
      <c r="D311" s="20"/>
      <c r="E311" s="20"/>
      <c r="F311" s="21"/>
      <c r="G311" s="21"/>
    </row>
    <row r="312" ht="15.75" customHeight="1">
      <c r="C312" s="20"/>
      <c r="D312" s="20"/>
      <c r="E312" s="20"/>
      <c r="F312" s="21"/>
      <c r="G312" s="21"/>
    </row>
    <row r="313" ht="15.75" customHeight="1">
      <c r="C313" s="20"/>
      <c r="D313" s="20"/>
      <c r="E313" s="20"/>
      <c r="F313" s="21"/>
      <c r="G313" s="21"/>
    </row>
    <row r="314" ht="15.75" customHeight="1">
      <c r="C314" s="20"/>
      <c r="D314" s="20"/>
      <c r="E314" s="20"/>
      <c r="F314" s="21"/>
      <c r="G314" s="21"/>
    </row>
    <row r="315" ht="15.75" customHeight="1">
      <c r="C315" s="20"/>
      <c r="D315" s="20"/>
      <c r="E315" s="20"/>
      <c r="F315" s="21"/>
      <c r="G315" s="21"/>
    </row>
    <row r="316" ht="15.75" customHeight="1">
      <c r="C316" s="20"/>
      <c r="D316" s="20"/>
      <c r="E316" s="20"/>
      <c r="F316" s="21"/>
      <c r="G316" s="21"/>
    </row>
    <row r="317" ht="15.75" customHeight="1">
      <c r="C317" s="20"/>
      <c r="D317" s="20"/>
      <c r="E317" s="20"/>
      <c r="F317" s="21"/>
      <c r="G317" s="21"/>
    </row>
    <row r="318" ht="15.75" customHeight="1">
      <c r="C318" s="20"/>
      <c r="D318" s="20"/>
      <c r="E318" s="20"/>
      <c r="F318" s="21"/>
      <c r="G318" s="21"/>
    </row>
    <row r="319" ht="15.75" customHeight="1">
      <c r="C319" s="20"/>
      <c r="D319" s="20"/>
      <c r="E319" s="20"/>
      <c r="F319" s="21"/>
      <c r="G319" s="21"/>
    </row>
    <row r="320" ht="15.75" customHeight="1">
      <c r="C320" s="20"/>
      <c r="D320" s="20"/>
      <c r="E320" s="20"/>
      <c r="F320" s="21"/>
      <c r="G320" s="21"/>
    </row>
    <row r="321" ht="15.75" customHeight="1">
      <c r="C321" s="20"/>
      <c r="D321" s="20"/>
      <c r="E321" s="20"/>
      <c r="F321" s="21"/>
      <c r="G321" s="21"/>
    </row>
    <row r="322" ht="15.75" customHeight="1">
      <c r="C322" s="20"/>
      <c r="D322" s="20"/>
      <c r="E322" s="20"/>
      <c r="F322" s="21"/>
      <c r="G322" s="21"/>
    </row>
    <row r="323" ht="15.75" customHeight="1">
      <c r="C323" s="20"/>
      <c r="D323" s="20"/>
      <c r="E323" s="20"/>
      <c r="F323" s="21"/>
      <c r="G323" s="21"/>
    </row>
    <row r="324" ht="15.75" customHeight="1">
      <c r="C324" s="20"/>
      <c r="D324" s="20"/>
      <c r="E324" s="20"/>
      <c r="F324" s="21"/>
      <c r="G324" s="21"/>
    </row>
    <row r="325" ht="15.75" customHeight="1">
      <c r="C325" s="20"/>
      <c r="D325" s="20"/>
      <c r="E325" s="20"/>
      <c r="F325" s="21"/>
      <c r="G325" s="21"/>
    </row>
    <row r="326" ht="15.75" customHeight="1">
      <c r="C326" s="20"/>
      <c r="D326" s="20"/>
      <c r="E326" s="20"/>
      <c r="F326" s="21"/>
      <c r="G326" s="21"/>
    </row>
    <row r="327" ht="15.75" customHeight="1">
      <c r="C327" s="20"/>
      <c r="D327" s="20"/>
      <c r="E327" s="20"/>
      <c r="F327" s="21"/>
      <c r="G327" s="21"/>
    </row>
    <row r="328" ht="15.75" customHeight="1">
      <c r="C328" s="20"/>
      <c r="D328" s="20"/>
      <c r="E328" s="20"/>
      <c r="F328" s="21"/>
      <c r="G328" s="21"/>
    </row>
    <row r="329" ht="15.75" customHeight="1">
      <c r="C329" s="20"/>
      <c r="D329" s="20"/>
      <c r="E329" s="20"/>
      <c r="F329" s="21"/>
      <c r="G329" s="21"/>
    </row>
    <row r="330" ht="15.75" customHeight="1">
      <c r="C330" s="20"/>
      <c r="D330" s="20"/>
      <c r="E330" s="20"/>
      <c r="F330" s="21"/>
      <c r="G330" s="21"/>
    </row>
    <row r="331" ht="15.75" customHeight="1">
      <c r="C331" s="20"/>
      <c r="D331" s="20"/>
      <c r="E331" s="20"/>
      <c r="F331" s="21"/>
      <c r="G331" s="21"/>
    </row>
    <row r="332" ht="15.75" customHeight="1">
      <c r="C332" s="20"/>
      <c r="D332" s="20"/>
      <c r="E332" s="20"/>
      <c r="F332" s="21"/>
      <c r="G332" s="21"/>
    </row>
    <row r="333" ht="15.75" customHeight="1">
      <c r="C333" s="20"/>
      <c r="D333" s="20"/>
      <c r="E333" s="20"/>
      <c r="F333" s="21"/>
      <c r="G333" s="21"/>
    </row>
    <row r="334" ht="15.75" customHeight="1">
      <c r="C334" s="20"/>
      <c r="D334" s="20"/>
      <c r="E334" s="20"/>
      <c r="F334" s="21"/>
      <c r="G334" s="21"/>
    </row>
    <row r="335" ht="15.75" customHeight="1">
      <c r="C335" s="20"/>
      <c r="D335" s="20"/>
      <c r="E335" s="20"/>
      <c r="F335" s="21"/>
      <c r="G335" s="21"/>
    </row>
    <row r="336" ht="15.75" customHeight="1">
      <c r="C336" s="20"/>
      <c r="D336" s="20"/>
      <c r="E336" s="20"/>
      <c r="F336" s="21"/>
      <c r="G336" s="21"/>
    </row>
    <row r="337" ht="15.75" customHeight="1">
      <c r="C337" s="20"/>
      <c r="D337" s="20"/>
      <c r="E337" s="20"/>
      <c r="F337" s="21"/>
      <c r="G337" s="21"/>
    </row>
    <row r="338" ht="15.75" customHeight="1">
      <c r="C338" s="20"/>
      <c r="D338" s="20"/>
      <c r="E338" s="20"/>
      <c r="F338" s="21"/>
      <c r="G338" s="21"/>
    </row>
    <row r="339" ht="15.75" customHeight="1">
      <c r="C339" s="20"/>
      <c r="D339" s="20"/>
      <c r="E339" s="20"/>
      <c r="F339" s="21"/>
      <c r="G339" s="21"/>
    </row>
    <row r="340" ht="15.75" customHeight="1">
      <c r="C340" s="20"/>
      <c r="D340" s="20"/>
      <c r="E340" s="20"/>
      <c r="F340" s="21"/>
      <c r="G340" s="21"/>
    </row>
    <row r="341" ht="15.75" customHeight="1">
      <c r="C341" s="20"/>
      <c r="D341" s="20"/>
      <c r="E341" s="20"/>
      <c r="F341" s="21"/>
      <c r="G341" s="21"/>
    </row>
    <row r="342" ht="15.75" customHeight="1">
      <c r="C342" s="20"/>
      <c r="D342" s="20"/>
      <c r="E342" s="20"/>
      <c r="F342" s="21"/>
      <c r="G342" s="21"/>
    </row>
    <row r="343" ht="15.75" customHeight="1">
      <c r="C343" s="20"/>
      <c r="D343" s="20"/>
      <c r="E343" s="20"/>
      <c r="F343" s="21"/>
      <c r="G343" s="21"/>
    </row>
    <row r="344" ht="15.75" customHeight="1">
      <c r="C344" s="20"/>
      <c r="D344" s="20"/>
      <c r="E344" s="20"/>
      <c r="F344" s="21"/>
      <c r="G344" s="21"/>
    </row>
    <row r="345" ht="15.75" customHeight="1">
      <c r="C345" s="20"/>
      <c r="D345" s="20"/>
      <c r="E345" s="20"/>
      <c r="F345" s="21"/>
      <c r="G345" s="21"/>
    </row>
    <row r="346" ht="15.75" customHeight="1">
      <c r="C346" s="20"/>
      <c r="D346" s="20"/>
      <c r="E346" s="20"/>
      <c r="F346" s="21"/>
      <c r="G346" s="21"/>
    </row>
    <row r="347" ht="15.75" customHeight="1">
      <c r="C347" s="20"/>
      <c r="D347" s="20"/>
      <c r="E347" s="20"/>
      <c r="F347" s="21"/>
      <c r="G347" s="21"/>
    </row>
    <row r="348" ht="15.75" customHeight="1">
      <c r="C348" s="20"/>
      <c r="D348" s="20"/>
      <c r="E348" s="20"/>
      <c r="F348" s="21"/>
      <c r="G348" s="21"/>
    </row>
    <row r="349" ht="15.75" customHeight="1">
      <c r="C349" s="20"/>
      <c r="D349" s="20"/>
      <c r="E349" s="20"/>
      <c r="F349" s="21"/>
      <c r="G349" s="21"/>
    </row>
    <row r="350" ht="15.75" customHeight="1">
      <c r="C350" s="20"/>
      <c r="D350" s="20"/>
      <c r="E350" s="20"/>
      <c r="F350" s="21"/>
      <c r="G350" s="21"/>
    </row>
    <row r="351" ht="15.75" customHeight="1">
      <c r="C351" s="20"/>
      <c r="D351" s="20"/>
      <c r="E351" s="20"/>
      <c r="F351" s="21"/>
      <c r="G351" s="21"/>
    </row>
    <row r="352" ht="15.75" customHeight="1">
      <c r="C352" s="20"/>
      <c r="D352" s="20"/>
      <c r="E352" s="20"/>
      <c r="F352" s="21"/>
      <c r="G352" s="21"/>
    </row>
    <row r="353" ht="15.75" customHeight="1">
      <c r="C353" s="20"/>
      <c r="D353" s="20"/>
      <c r="E353" s="20"/>
      <c r="F353" s="21"/>
      <c r="G353" s="21"/>
    </row>
    <row r="354" ht="15.75" customHeight="1">
      <c r="C354" s="20"/>
      <c r="D354" s="20"/>
      <c r="E354" s="20"/>
      <c r="F354" s="21"/>
      <c r="G354" s="21"/>
    </row>
    <row r="355" ht="15.75" customHeight="1">
      <c r="C355" s="20"/>
      <c r="D355" s="20"/>
      <c r="E355" s="20"/>
      <c r="F355" s="21"/>
      <c r="G355" s="21"/>
    </row>
    <row r="356" ht="15.75" customHeight="1">
      <c r="C356" s="20"/>
      <c r="D356" s="20"/>
      <c r="E356" s="20"/>
      <c r="F356" s="21"/>
      <c r="G356" s="21"/>
    </row>
    <row r="357" ht="15.75" customHeight="1">
      <c r="C357" s="20"/>
      <c r="D357" s="20"/>
      <c r="E357" s="20"/>
      <c r="F357" s="21"/>
      <c r="G357" s="21"/>
    </row>
    <row r="358" ht="15.75" customHeight="1">
      <c r="C358" s="20"/>
      <c r="D358" s="20"/>
      <c r="E358" s="20"/>
      <c r="F358" s="21"/>
      <c r="G358" s="21"/>
    </row>
    <row r="359" ht="15.75" customHeight="1">
      <c r="C359" s="20"/>
      <c r="D359" s="20"/>
      <c r="E359" s="20"/>
      <c r="F359" s="21"/>
      <c r="G359" s="21"/>
    </row>
    <row r="360" ht="15.75" customHeight="1">
      <c r="C360" s="20"/>
      <c r="D360" s="20"/>
      <c r="E360" s="20"/>
      <c r="F360" s="21"/>
      <c r="G360" s="21"/>
    </row>
    <row r="361" ht="15.75" customHeight="1">
      <c r="C361" s="20"/>
      <c r="D361" s="20"/>
      <c r="E361" s="20"/>
      <c r="F361" s="21"/>
      <c r="G361" s="21"/>
    </row>
    <row r="362" ht="15.75" customHeight="1">
      <c r="C362" s="20"/>
      <c r="D362" s="20"/>
      <c r="E362" s="20"/>
      <c r="F362" s="21"/>
      <c r="G362" s="21"/>
    </row>
    <row r="363" ht="15.75" customHeight="1">
      <c r="C363" s="20"/>
      <c r="D363" s="20"/>
      <c r="E363" s="20"/>
      <c r="F363" s="21"/>
      <c r="G363" s="21"/>
    </row>
    <row r="364" ht="15.75" customHeight="1">
      <c r="C364" s="20"/>
      <c r="D364" s="20"/>
      <c r="E364" s="20"/>
      <c r="F364" s="21"/>
      <c r="G364" s="21"/>
    </row>
    <row r="365" ht="15.75" customHeight="1">
      <c r="C365" s="20"/>
      <c r="D365" s="20"/>
      <c r="E365" s="20"/>
      <c r="F365" s="21"/>
      <c r="G365" s="21"/>
    </row>
    <row r="366" ht="15.75" customHeight="1">
      <c r="C366" s="20"/>
      <c r="D366" s="20"/>
      <c r="E366" s="20"/>
      <c r="F366" s="21"/>
      <c r="G366" s="21"/>
    </row>
    <row r="367" ht="15.75" customHeight="1">
      <c r="C367" s="20"/>
      <c r="D367" s="20"/>
      <c r="E367" s="20"/>
      <c r="F367" s="21"/>
      <c r="G367" s="21"/>
    </row>
    <row r="368" ht="15.75" customHeight="1">
      <c r="C368" s="20"/>
      <c r="D368" s="20"/>
      <c r="E368" s="20"/>
      <c r="F368" s="21"/>
      <c r="G368" s="21"/>
    </row>
    <row r="369" ht="15.75" customHeight="1">
      <c r="C369" s="20"/>
      <c r="D369" s="20"/>
      <c r="E369" s="20"/>
      <c r="F369" s="21"/>
      <c r="G369" s="21"/>
    </row>
    <row r="370" ht="15.75" customHeight="1">
      <c r="C370" s="20"/>
      <c r="D370" s="20"/>
      <c r="E370" s="20"/>
      <c r="F370" s="21"/>
      <c r="G370" s="21"/>
    </row>
    <row r="371" ht="15.75" customHeight="1">
      <c r="C371" s="20"/>
      <c r="D371" s="20"/>
      <c r="E371" s="20"/>
      <c r="F371" s="21"/>
      <c r="G371" s="21"/>
    </row>
    <row r="372" ht="15.75" customHeight="1">
      <c r="C372" s="20"/>
      <c r="D372" s="20"/>
      <c r="E372" s="20"/>
      <c r="F372" s="21"/>
      <c r="G372" s="21"/>
    </row>
    <row r="373" ht="15.75" customHeight="1">
      <c r="C373" s="20"/>
      <c r="D373" s="20"/>
      <c r="E373" s="20"/>
      <c r="F373" s="21"/>
      <c r="G373" s="21"/>
    </row>
    <row r="374" ht="15.75" customHeight="1">
      <c r="C374" s="20"/>
      <c r="D374" s="20"/>
      <c r="E374" s="20"/>
      <c r="F374" s="21"/>
      <c r="G374" s="21"/>
    </row>
    <row r="375" ht="15.75" customHeight="1">
      <c r="C375" s="20"/>
      <c r="D375" s="20"/>
      <c r="E375" s="20"/>
      <c r="F375" s="21"/>
      <c r="G375" s="21"/>
    </row>
    <row r="376" ht="15.75" customHeight="1">
      <c r="C376" s="20"/>
      <c r="D376" s="20"/>
      <c r="E376" s="20"/>
      <c r="F376" s="21"/>
      <c r="G376" s="21"/>
    </row>
    <row r="377" ht="15.75" customHeight="1">
      <c r="C377" s="20"/>
      <c r="D377" s="20"/>
      <c r="E377" s="20"/>
      <c r="F377" s="21"/>
      <c r="G377" s="21"/>
    </row>
    <row r="378" ht="15.75" customHeight="1">
      <c r="C378" s="20"/>
      <c r="D378" s="20"/>
      <c r="E378" s="20"/>
      <c r="F378" s="21"/>
      <c r="G378" s="21"/>
    </row>
    <row r="379" ht="15.75" customHeight="1">
      <c r="C379" s="20"/>
      <c r="D379" s="20"/>
      <c r="E379" s="20"/>
      <c r="F379" s="21"/>
      <c r="G379" s="21"/>
    </row>
    <row r="380" ht="15.75" customHeight="1">
      <c r="C380" s="20"/>
      <c r="D380" s="20"/>
      <c r="E380" s="20"/>
      <c r="F380" s="21"/>
      <c r="G380" s="21"/>
    </row>
    <row r="381" ht="15.75" customHeight="1">
      <c r="C381" s="20"/>
      <c r="D381" s="20"/>
      <c r="E381" s="20"/>
      <c r="F381" s="21"/>
      <c r="G381" s="21"/>
    </row>
    <row r="382" ht="15.75" customHeight="1">
      <c r="C382" s="20"/>
      <c r="D382" s="20"/>
      <c r="E382" s="20"/>
      <c r="F382" s="21"/>
      <c r="G382" s="21"/>
    </row>
    <row r="383" ht="15.75" customHeight="1">
      <c r="C383" s="20"/>
      <c r="D383" s="20"/>
      <c r="E383" s="20"/>
      <c r="F383" s="21"/>
      <c r="G383" s="21"/>
    </row>
    <row r="384" ht="15.75" customHeight="1">
      <c r="C384" s="20"/>
      <c r="D384" s="20"/>
      <c r="E384" s="20"/>
      <c r="F384" s="21"/>
      <c r="G384" s="21"/>
    </row>
    <row r="385" ht="15.75" customHeight="1">
      <c r="C385" s="20"/>
      <c r="D385" s="20"/>
      <c r="E385" s="20"/>
      <c r="F385" s="21"/>
      <c r="G385" s="21"/>
    </row>
    <row r="386" ht="15.75" customHeight="1">
      <c r="C386" s="20"/>
      <c r="D386" s="20"/>
      <c r="E386" s="20"/>
      <c r="F386" s="21"/>
      <c r="G386" s="21"/>
    </row>
    <row r="387" ht="15.75" customHeight="1">
      <c r="C387" s="20"/>
      <c r="D387" s="20"/>
      <c r="E387" s="20"/>
      <c r="F387" s="21"/>
      <c r="G387" s="21"/>
    </row>
    <row r="388" ht="15.75" customHeight="1">
      <c r="C388" s="20"/>
      <c r="D388" s="20"/>
      <c r="E388" s="20"/>
      <c r="F388" s="21"/>
      <c r="G388" s="21"/>
    </row>
    <row r="389" ht="15.75" customHeight="1">
      <c r="C389" s="20"/>
      <c r="D389" s="20"/>
      <c r="E389" s="20"/>
      <c r="F389" s="21"/>
      <c r="G389" s="21"/>
    </row>
    <row r="390" ht="15.75" customHeight="1">
      <c r="C390" s="20"/>
      <c r="D390" s="20"/>
      <c r="E390" s="20"/>
      <c r="F390" s="21"/>
      <c r="G390" s="21"/>
    </row>
    <row r="391" ht="15.75" customHeight="1">
      <c r="C391" s="20"/>
      <c r="D391" s="20"/>
      <c r="E391" s="20"/>
      <c r="F391" s="21"/>
      <c r="G391" s="21"/>
    </row>
    <row r="392" ht="15.75" customHeight="1">
      <c r="C392" s="20"/>
      <c r="D392" s="20"/>
      <c r="E392" s="20"/>
      <c r="F392" s="21"/>
      <c r="G392" s="21"/>
    </row>
    <row r="393" ht="15.75" customHeight="1">
      <c r="C393" s="20"/>
      <c r="D393" s="20"/>
      <c r="E393" s="20"/>
      <c r="F393" s="21"/>
      <c r="G393" s="21"/>
    </row>
    <row r="394" ht="15.75" customHeight="1">
      <c r="C394" s="20"/>
      <c r="D394" s="20"/>
      <c r="E394" s="20"/>
      <c r="F394" s="21"/>
      <c r="G394" s="21"/>
    </row>
    <row r="395" ht="15.75" customHeight="1">
      <c r="C395" s="20"/>
      <c r="D395" s="20"/>
      <c r="E395" s="20"/>
      <c r="F395" s="21"/>
      <c r="G395" s="21"/>
    </row>
    <row r="396" ht="15.75" customHeight="1">
      <c r="C396" s="20"/>
      <c r="D396" s="20"/>
      <c r="E396" s="20"/>
      <c r="F396" s="21"/>
      <c r="G396" s="21"/>
    </row>
    <row r="397" ht="15.75" customHeight="1">
      <c r="C397" s="20"/>
      <c r="D397" s="20"/>
      <c r="E397" s="20"/>
      <c r="F397" s="21"/>
      <c r="G397" s="21"/>
    </row>
    <row r="398" ht="15.75" customHeight="1">
      <c r="C398" s="20"/>
      <c r="D398" s="20"/>
      <c r="E398" s="20"/>
      <c r="F398" s="21"/>
      <c r="G398" s="21"/>
    </row>
    <row r="399" ht="15.75" customHeight="1">
      <c r="C399" s="20"/>
      <c r="D399" s="20"/>
      <c r="E399" s="20"/>
      <c r="F399" s="21"/>
      <c r="G399" s="21"/>
    </row>
    <row r="400" ht="15.75" customHeight="1">
      <c r="C400" s="20"/>
      <c r="D400" s="20"/>
      <c r="E400" s="20"/>
      <c r="F400" s="21"/>
      <c r="G400" s="21"/>
    </row>
    <row r="401" ht="15.75" customHeight="1">
      <c r="C401" s="20"/>
      <c r="D401" s="20"/>
      <c r="E401" s="20"/>
      <c r="F401" s="21"/>
      <c r="G401" s="21"/>
    </row>
    <row r="402" ht="15.75" customHeight="1">
      <c r="C402" s="20"/>
      <c r="D402" s="20"/>
      <c r="E402" s="20"/>
      <c r="F402" s="21"/>
      <c r="G402" s="21"/>
    </row>
    <row r="403" ht="15.75" customHeight="1">
      <c r="C403" s="20"/>
      <c r="D403" s="20"/>
      <c r="E403" s="20"/>
      <c r="F403" s="21"/>
      <c r="G403" s="21"/>
    </row>
    <row r="404" ht="15.75" customHeight="1">
      <c r="C404" s="20"/>
      <c r="D404" s="20"/>
      <c r="E404" s="20"/>
      <c r="F404" s="21"/>
      <c r="G404" s="21"/>
    </row>
    <row r="405" ht="15.75" customHeight="1">
      <c r="C405" s="20"/>
      <c r="D405" s="20"/>
      <c r="E405" s="20"/>
      <c r="F405" s="21"/>
      <c r="G405" s="21"/>
    </row>
    <row r="406" ht="15.75" customHeight="1">
      <c r="C406" s="20"/>
      <c r="D406" s="20"/>
      <c r="E406" s="20"/>
      <c r="F406" s="21"/>
      <c r="G406" s="21"/>
    </row>
    <row r="407" ht="15.75" customHeight="1">
      <c r="C407" s="20"/>
      <c r="D407" s="20"/>
      <c r="E407" s="20"/>
      <c r="F407" s="21"/>
      <c r="G407" s="21"/>
    </row>
    <row r="408" ht="15.75" customHeight="1">
      <c r="C408" s="20"/>
      <c r="D408" s="20"/>
      <c r="E408" s="20"/>
      <c r="F408" s="21"/>
      <c r="G408" s="21"/>
    </row>
    <row r="409" ht="15.75" customHeight="1">
      <c r="C409" s="20"/>
      <c r="D409" s="20"/>
      <c r="E409" s="20"/>
      <c r="F409" s="21"/>
      <c r="G409" s="21"/>
    </row>
    <row r="410" ht="15.75" customHeight="1">
      <c r="C410" s="20"/>
      <c r="D410" s="20"/>
      <c r="E410" s="20"/>
      <c r="F410" s="21"/>
      <c r="G410" s="21"/>
    </row>
    <row r="411" ht="15.75" customHeight="1">
      <c r="C411" s="20"/>
      <c r="D411" s="20"/>
      <c r="E411" s="20"/>
      <c r="F411" s="21"/>
      <c r="G411" s="21"/>
    </row>
    <row r="412" ht="15.75" customHeight="1">
      <c r="C412" s="20"/>
      <c r="D412" s="20"/>
      <c r="E412" s="20"/>
      <c r="F412" s="21"/>
      <c r="G412" s="21"/>
    </row>
    <row r="413" ht="15.75" customHeight="1">
      <c r="C413" s="20"/>
      <c r="D413" s="20"/>
      <c r="E413" s="20"/>
      <c r="F413" s="21"/>
      <c r="G413" s="21"/>
    </row>
    <row r="414" ht="15.75" customHeight="1">
      <c r="C414" s="20"/>
      <c r="D414" s="20"/>
      <c r="E414" s="20"/>
      <c r="F414" s="21"/>
      <c r="G414" s="21"/>
    </row>
    <row r="415" ht="15.75" customHeight="1">
      <c r="C415" s="20"/>
      <c r="D415" s="20"/>
      <c r="E415" s="20"/>
      <c r="F415" s="21"/>
      <c r="G415" s="21"/>
    </row>
    <row r="416" ht="15.75" customHeight="1">
      <c r="C416" s="20"/>
      <c r="D416" s="20"/>
      <c r="E416" s="20"/>
      <c r="F416" s="21"/>
      <c r="G416" s="21"/>
    </row>
    <row r="417" ht="15.75" customHeight="1">
      <c r="C417" s="20"/>
      <c r="D417" s="20"/>
      <c r="E417" s="20"/>
      <c r="F417" s="21"/>
      <c r="G417" s="21"/>
    </row>
    <row r="418" ht="15.75" customHeight="1">
      <c r="C418" s="20"/>
      <c r="D418" s="20"/>
      <c r="E418" s="20"/>
      <c r="F418" s="21"/>
      <c r="G418" s="21"/>
    </row>
    <row r="419" ht="15.75" customHeight="1">
      <c r="C419" s="20"/>
      <c r="D419" s="20"/>
      <c r="E419" s="20"/>
      <c r="F419" s="21"/>
      <c r="G419" s="21"/>
    </row>
    <row r="420" ht="15.75" customHeight="1">
      <c r="C420" s="20"/>
      <c r="D420" s="20"/>
      <c r="E420" s="20"/>
      <c r="F420" s="21"/>
      <c r="G420" s="21"/>
    </row>
    <row r="421" ht="15.75" customHeight="1">
      <c r="C421" s="20"/>
      <c r="D421" s="20"/>
      <c r="E421" s="20"/>
      <c r="F421" s="21"/>
      <c r="G421" s="21"/>
    </row>
    <row r="422" ht="15.75" customHeight="1">
      <c r="C422" s="20"/>
      <c r="D422" s="20"/>
      <c r="E422" s="20"/>
      <c r="F422" s="21"/>
      <c r="G422" s="21"/>
    </row>
    <row r="423" ht="15.75" customHeight="1">
      <c r="C423" s="20"/>
      <c r="D423" s="20"/>
      <c r="E423" s="20"/>
      <c r="F423" s="21"/>
      <c r="G423" s="21"/>
    </row>
    <row r="424" ht="15.75" customHeight="1">
      <c r="C424" s="20"/>
      <c r="D424" s="20"/>
      <c r="E424" s="20"/>
      <c r="F424" s="21"/>
      <c r="G424" s="21"/>
    </row>
    <row r="425" ht="15.75" customHeight="1">
      <c r="C425" s="20"/>
      <c r="D425" s="20"/>
      <c r="E425" s="20"/>
      <c r="F425" s="21"/>
      <c r="G425" s="21"/>
    </row>
    <row r="426" ht="15.75" customHeight="1">
      <c r="C426" s="20"/>
      <c r="D426" s="20"/>
      <c r="E426" s="20"/>
      <c r="F426" s="21"/>
      <c r="G426" s="21"/>
    </row>
    <row r="427" ht="15.75" customHeight="1">
      <c r="C427" s="20"/>
      <c r="D427" s="20"/>
      <c r="E427" s="20"/>
      <c r="F427" s="21"/>
      <c r="G427" s="21"/>
    </row>
    <row r="428" ht="15.75" customHeight="1">
      <c r="C428" s="20"/>
      <c r="D428" s="20"/>
      <c r="E428" s="20"/>
      <c r="F428" s="21"/>
      <c r="G428" s="21"/>
    </row>
    <row r="429" ht="15.75" customHeight="1">
      <c r="C429" s="20"/>
      <c r="D429" s="20"/>
      <c r="E429" s="20"/>
      <c r="F429" s="21"/>
      <c r="G429" s="21"/>
    </row>
    <row r="430" ht="15.75" customHeight="1">
      <c r="C430" s="20"/>
      <c r="D430" s="20"/>
      <c r="E430" s="20"/>
      <c r="F430" s="21"/>
      <c r="G430" s="21"/>
    </row>
    <row r="431" ht="15.75" customHeight="1">
      <c r="C431" s="20"/>
      <c r="D431" s="20"/>
      <c r="E431" s="20"/>
      <c r="F431" s="21"/>
      <c r="G431" s="21"/>
    </row>
    <row r="432" ht="15.75" customHeight="1">
      <c r="C432" s="20"/>
      <c r="D432" s="20"/>
      <c r="E432" s="20"/>
      <c r="F432" s="21"/>
      <c r="G432" s="21"/>
    </row>
    <row r="433" ht="15.75" customHeight="1">
      <c r="C433" s="20"/>
      <c r="D433" s="20"/>
      <c r="E433" s="20"/>
      <c r="F433" s="21"/>
      <c r="G433" s="21"/>
    </row>
    <row r="434" ht="15.75" customHeight="1">
      <c r="C434" s="20"/>
      <c r="D434" s="20"/>
      <c r="E434" s="20"/>
      <c r="F434" s="21"/>
      <c r="G434" s="21"/>
    </row>
    <row r="435" ht="15.75" customHeight="1">
      <c r="C435" s="20"/>
      <c r="D435" s="20"/>
      <c r="E435" s="20"/>
      <c r="F435" s="21"/>
      <c r="G435" s="21"/>
    </row>
    <row r="436" ht="15.75" customHeight="1">
      <c r="C436" s="20"/>
      <c r="D436" s="20"/>
      <c r="E436" s="20"/>
      <c r="F436" s="21"/>
      <c r="G436" s="21"/>
    </row>
    <row r="437" ht="15.75" customHeight="1">
      <c r="C437" s="20"/>
      <c r="D437" s="20"/>
      <c r="E437" s="20"/>
      <c r="F437" s="21"/>
      <c r="G437" s="21"/>
    </row>
    <row r="438" ht="15.75" customHeight="1">
      <c r="C438" s="20"/>
      <c r="D438" s="20"/>
      <c r="E438" s="20"/>
      <c r="F438" s="21"/>
      <c r="G438" s="21"/>
    </row>
    <row r="439" ht="15.75" customHeight="1">
      <c r="C439" s="20"/>
      <c r="D439" s="20"/>
      <c r="E439" s="20"/>
      <c r="F439" s="21"/>
      <c r="G439" s="21"/>
    </row>
    <row r="440" ht="15.75" customHeight="1">
      <c r="C440" s="20"/>
      <c r="D440" s="20"/>
      <c r="E440" s="20"/>
      <c r="F440" s="21"/>
      <c r="G440" s="21"/>
    </row>
    <row r="441" ht="15.75" customHeight="1">
      <c r="C441" s="20"/>
      <c r="D441" s="20"/>
      <c r="E441" s="20"/>
      <c r="F441" s="21"/>
      <c r="G441" s="21"/>
    </row>
    <row r="442" ht="15.75" customHeight="1">
      <c r="C442" s="20"/>
      <c r="D442" s="20"/>
      <c r="E442" s="20"/>
      <c r="F442" s="21"/>
      <c r="G442" s="21"/>
    </row>
    <row r="443" ht="15.75" customHeight="1">
      <c r="C443" s="20"/>
      <c r="D443" s="20"/>
      <c r="E443" s="20"/>
      <c r="F443" s="21"/>
      <c r="G443" s="21"/>
    </row>
    <row r="444" ht="15.75" customHeight="1">
      <c r="C444" s="20"/>
      <c r="D444" s="20"/>
      <c r="E444" s="20"/>
      <c r="F444" s="21"/>
      <c r="G444" s="21"/>
    </row>
    <row r="445" ht="15.75" customHeight="1">
      <c r="C445" s="20"/>
      <c r="D445" s="20"/>
      <c r="E445" s="20"/>
      <c r="F445" s="21"/>
      <c r="G445" s="21"/>
    </row>
    <row r="446" ht="15.75" customHeight="1">
      <c r="C446" s="20"/>
      <c r="D446" s="20"/>
      <c r="E446" s="20"/>
      <c r="F446" s="21"/>
      <c r="G446" s="21"/>
    </row>
    <row r="447" ht="15.75" customHeight="1">
      <c r="C447" s="20"/>
      <c r="D447" s="20"/>
      <c r="E447" s="20"/>
      <c r="F447" s="21"/>
      <c r="G447" s="21"/>
    </row>
    <row r="448" ht="15.75" customHeight="1">
      <c r="C448" s="20"/>
      <c r="D448" s="20"/>
      <c r="E448" s="20"/>
      <c r="F448" s="21"/>
      <c r="G448" s="21"/>
    </row>
    <row r="449" ht="15.75" customHeight="1">
      <c r="C449" s="20"/>
      <c r="D449" s="20"/>
      <c r="E449" s="20"/>
      <c r="F449" s="21"/>
      <c r="G449" s="21"/>
    </row>
    <row r="450" ht="15.75" customHeight="1">
      <c r="C450" s="20"/>
      <c r="D450" s="20"/>
      <c r="E450" s="20"/>
      <c r="F450" s="21"/>
      <c r="G450" s="21"/>
    </row>
    <row r="451" ht="15.75" customHeight="1">
      <c r="C451" s="20"/>
      <c r="D451" s="20"/>
      <c r="E451" s="20"/>
      <c r="F451" s="21"/>
      <c r="G451" s="21"/>
    </row>
    <row r="452" ht="15.75" customHeight="1">
      <c r="C452" s="20"/>
      <c r="D452" s="20"/>
      <c r="E452" s="20"/>
      <c r="F452" s="21"/>
      <c r="G452" s="21"/>
    </row>
    <row r="453" ht="15.75" customHeight="1">
      <c r="C453" s="20"/>
      <c r="D453" s="20"/>
      <c r="E453" s="20"/>
      <c r="F453" s="21"/>
      <c r="G453" s="21"/>
    </row>
    <row r="454" ht="15.75" customHeight="1">
      <c r="C454" s="20"/>
      <c r="D454" s="20"/>
      <c r="E454" s="20"/>
      <c r="F454" s="21"/>
      <c r="G454" s="21"/>
    </row>
    <row r="455" ht="15.75" customHeight="1">
      <c r="C455" s="20"/>
      <c r="D455" s="20"/>
      <c r="E455" s="20"/>
      <c r="F455" s="21"/>
      <c r="G455" s="21"/>
    </row>
    <row r="456" ht="15.75" customHeight="1">
      <c r="C456" s="20"/>
      <c r="D456" s="20"/>
      <c r="E456" s="20"/>
      <c r="F456" s="21"/>
      <c r="G456" s="21"/>
    </row>
    <row r="457" ht="15.75" customHeight="1">
      <c r="C457" s="20"/>
      <c r="D457" s="20"/>
      <c r="E457" s="20"/>
      <c r="F457" s="21"/>
      <c r="G457" s="21"/>
    </row>
    <row r="458" ht="15.75" customHeight="1">
      <c r="C458" s="20"/>
      <c r="D458" s="20"/>
      <c r="E458" s="20"/>
      <c r="F458" s="21"/>
      <c r="G458" s="21"/>
    </row>
    <row r="459" ht="15.75" customHeight="1">
      <c r="C459" s="20"/>
      <c r="D459" s="20"/>
      <c r="E459" s="20"/>
      <c r="F459" s="21"/>
      <c r="G459" s="21"/>
    </row>
    <row r="460" ht="15.75" customHeight="1">
      <c r="C460" s="20"/>
      <c r="D460" s="20"/>
      <c r="E460" s="20"/>
      <c r="F460" s="21"/>
      <c r="G460" s="21"/>
    </row>
    <row r="461" ht="15.75" customHeight="1">
      <c r="C461" s="20"/>
      <c r="D461" s="20"/>
      <c r="E461" s="20"/>
      <c r="F461" s="21"/>
      <c r="G461" s="21"/>
    </row>
    <row r="462" ht="15.75" customHeight="1">
      <c r="C462" s="20"/>
      <c r="D462" s="20"/>
      <c r="E462" s="20"/>
      <c r="F462" s="21"/>
      <c r="G462" s="21"/>
    </row>
    <row r="463" ht="15.75" customHeight="1">
      <c r="C463" s="20"/>
      <c r="D463" s="20"/>
      <c r="E463" s="20"/>
      <c r="F463" s="21"/>
      <c r="G463" s="21"/>
    </row>
    <row r="464" ht="15.75" customHeight="1">
      <c r="C464" s="20"/>
      <c r="D464" s="20"/>
      <c r="E464" s="20"/>
      <c r="F464" s="21"/>
      <c r="G464" s="21"/>
    </row>
    <row r="465" ht="15.75" customHeight="1">
      <c r="C465" s="20"/>
      <c r="D465" s="20"/>
      <c r="E465" s="20"/>
      <c r="F465" s="21"/>
      <c r="G465" s="21"/>
    </row>
    <row r="466" ht="15.75" customHeight="1">
      <c r="C466" s="20"/>
      <c r="D466" s="20"/>
      <c r="E466" s="20"/>
      <c r="F466" s="21"/>
      <c r="G466" s="21"/>
    </row>
    <row r="467" ht="15.75" customHeight="1">
      <c r="C467" s="20"/>
      <c r="D467" s="20"/>
      <c r="E467" s="20"/>
      <c r="F467" s="21"/>
      <c r="G467" s="21"/>
    </row>
    <row r="468" ht="15.75" customHeight="1">
      <c r="C468" s="20"/>
      <c r="D468" s="20"/>
      <c r="E468" s="20"/>
      <c r="F468" s="21"/>
      <c r="G468" s="21"/>
    </row>
    <row r="469" ht="15.75" customHeight="1">
      <c r="C469" s="20"/>
      <c r="D469" s="20"/>
      <c r="E469" s="20"/>
      <c r="F469" s="21"/>
      <c r="G469" s="21"/>
    </row>
    <row r="470" ht="15.75" customHeight="1">
      <c r="C470" s="20"/>
      <c r="D470" s="20"/>
      <c r="E470" s="20"/>
      <c r="F470" s="21"/>
      <c r="G470" s="21"/>
    </row>
    <row r="471" ht="15.75" customHeight="1">
      <c r="C471" s="20"/>
      <c r="D471" s="20"/>
      <c r="E471" s="20"/>
      <c r="F471" s="21"/>
      <c r="G471" s="21"/>
    </row>
    <row r="472" ht="15.75" customHeight="1">
      <c r="C472" s="20"/>
      <c r="D472" s="20"/>
      <c r="E472" s="20"/>
      <c r="F472" s="21"/>
      <c r="G472" s="21"/>
    </row>
    <row r="473" ht="15.75" customHeight="1">
      <c r="C473" s="20"/>
      <c r="D473" s="20"/>
      <c r="E473" s="20"/>
      <c r="F473" s="21"/>
      <c r="G473" s="21"/>
    </row>
    <row r="474" ht="15.75" customHeight="1">
      <c r="C474" s="20"/>
      <c r="D474" s="20"/>
      <c r="E474" s="20"/>
      <c r="F474" s="21"/>
      <c r="G474" s="21"/>
    </row>
    <row r="475" ht="15.75" customHeight="1">
      <c r="C475" s="20"/>
      <c r="D475" s="20"/>
      <c r="E475" s="20"/>
      <c r="F475" s="21"/>
      <c r="G475" s="21"/>
    </row>
    <row r="476" ht="15.75" customHeight="1">
      <c r="C476" s="20"/>
      <c r="D476" s="20"/>
      <c r="E476" s="20"/>
      <c r="F476" s="21"/>
      <c r="G476" s="21"/>
    </row>
    <row r="477" ht="15.75" customHeight="1">
      <c r="C477" s="20"/>
      <c r="D477" s="20"/>
      <c r="E477" s="20"/>
      <c r="F477" s="21"/>
      <c r="G477" s="21"/>
    </row>
    <row r="478" ht="15.75" customHeight="1">
      <c r="C478" s="20"/>
      <c r="D478" s="20"/>
      <c r="E478" s="20"/>
      <c r="F478" s="21"/>
      <c r="G478" s="21"/>
    </row>
    <row r="479" ht="15.75" customHeight="1">
      <c r="C479" s="20"/>
      <c r="D479" s="20"/>
      <c r="E479" s="20"/>
      <c r="F479" s="21"/>
      <c r="G479" s="21"/>
    </row>
    <row r="480" ht="15.75" customHeight="1">
      <c r="C480" s="20"/>
      <c r="D480" s="20"/>
      <c r="E480" s="20"/>
      <c r="F480" s="21"/>
      <c r="G480" s="21"/>
    </row>
    <row r="481" ht="15.75" customHeight="1">
      <c r="C481" s="20"/>
      <c r="D481" s="20"/>
      <c r="E481" s="20"/>
      <c r="F481" s="21"/>
      <c r="G481" s="21"/>
    </row>
    <row r="482" ht="15.75" customHeight="1">
      <c r="C482" s="20"/>
      <c r="D482" s="20"/>
      <c r="E482" s="20"/>
      <c r="F482" s="21"/>
      <c r="G482" s="21"/>
    </row>
    <row r="483" ht="15.75" customHeight="1">
      <c r="C483" s="20"/>
      <c r="D483" s="20"/>
      <c r="E483" s="20"/>
      <c r="F483" s="21"/>
      <c r="G483" s="21"/>
    </row>
    <row r="484" ht="15.75" customHeight="1">
      <c r="C484" s="20"/>
      <c r="D484" s="20"/>
      <c r="E484" s="20"/>
      <c r="F484" s="21"/>
      <c r="G484" s="21"/>
    </row>
    <row r="485" ht="15.75" customHeight="1">
      <c r="C485" s="20"/>
      <c r="D485" s="20"/>
      <c r="E485" s="20"/>
      <c r="F485" s="21"/>
      <c r="G485" s="21"/>
    </row>
    <row r="486" ht="15.75" customHeight="1">
      <c r="C486" s="20"/>
      <c r="D486" s="20"/>
      <c r="E486" s="20"/>
      <c r="F486" s="21"/>
      <c r="G486" s="21"/>
    </row>
    <row r="487" ht="15.75" customHeight="1">
      <c r="C487" s="20"/>
      <c r="D487" s="20"/>
      <c r="E487" s="20"/>
      <c r="F487" s="21"/>
      <c r="G487" s="21"/>
    </row>
    <row r="488" ht="15.75" customHeight="1">
      <c r="C488" s="20"/>
      <c r="D488" s="20"/>
      <c r="E488" s="20"/>
      <c r="F488" s="21"/>
      <c r="G488" s="21"/>
    </row>
    <row r="489" ht="15.75" customHeight="1">
      <c r="C489" s="20"/>
      <c r="D489" s="20"/>
      <c r="E489" s="20"/>
      <c r="F489" s="21"/>
      <c r="G489" s="21"/>
    </row>
    <row r="490" ht="15.75" customHeight="1">
      <c r="C490" s="20"/>
      <c r="D490" s="20"/>
      <c r="E490" s="20"/>
      <c r="F490" s="21"/>
      <c r="G490" s="21"/>
    </row>
    <row r="491" ht="15.75" customHeight="1">
      <c r="C491" s="20"/>
      <c r="D491" s="20"/>
      <c r="E491" s="20"/>
      <c r="F491" s="21"/>
      <c r="G491" s="21"/>
    </row>
    <row r="492" ht="15.75" customHeight="1">
      <c r="C492" s="20"/>
      <c r="D492" s="20"/>
      <c r="E492" s="20"/>
      <c r="F492" s="21"/>
      <c r="G492" s="21"/>
    </row>
    <row r="493" ht="15.75" customHeight="1">
      <c r="C493" s="20"/>
      <c r="D493" s="20"/>
      <c r="E493" s="20"/>
      <c r="F493" s="21"/>
      <c r="G493" s="21"/>
    </row>
    <row r="494" ht="15.75" customHeight="1">
      <c r="C494" s="20"/>
      <c r="D494" s="20"/>
      <c r="E494" s="20"/>
      <c r="F494" s="21"/>
      <c r="G494" s="21"/>
    </row>
    <row r="495" ht="15.75" customHeight="1">
      <c r="C495" s="20"/>
      <c r="D495" s="20"/>
      <c r="E495" s="20"/>
      <c r="F495" s="21"/>
      <c r="G495" s="21"/>
    </row>
    <row r="496" ht="15.75" customHeight="1">
      <c r="C496" s="20"/>
      <c r="D496" s="20"/>
      <c r="E496" s="20"/>
      <c r="F496" s="21"/>
      <c r="G496" s="21"/>
    </row>
    <row r="497" ht="15.75" customHeight="1">
      <c r="C497" s="20"/>
      <c r="D497" s="20"/>
      <c r="E497" s="20"/>
      <c r="F497" s="21"/>
      <c r="G497" s="21"/>
    </row>
    <row r="498" ht="15.75" customHeight="1">
      <c r="C498" s="20"/>
      <c r="D498" s="20"/>
      <c r="E498" s="20"/>
      <c r="F498" s="21"/>
      <c r="G498" s="21"/>
    </row>
    <row r="499" ht="15.75" customHeight="1">
      <c r="C499" s="20"/>
      <c r="D499" s="20"/>
      <c r="E499" s="20"/>
      <c r="F499" s="21"/>
      <c r="G499" s="21"/>
    </row>
    <row r="500" ht="15.75" customHeight="1">
      <c r="C500" s="20"/>
      <c r="D500" s="20"/>
      <c r="E500" s="20"/>
      <c r="F500" s="21"/>
      <c r="G500" s="21"/>
    </row>
    <row r="501" ht="15.75" customHeight="1">
      <c r="C501" s="20"/>
      <c r="D501" s="20"/>
      <c r="E501" s="20"/>
      <c r="F501" s="21"/>
      <c r="G501" s="21"/>
    </row>
    <row r="502" ht="15.75" customHeight="1">
      <c r="C502" s="20"/>
      <c r="D502" s="20"/>
      <c r="E502" s="20"/>
      <c r="F502" s="21"/>
      <c r="G502" s="21"/>
    </row>
    <row r="503" ht="15.75" customHeight="1">
      <c r="C503" s="20"/>
      <c r="D503" s="20"/>
      <c r="E503" s="20"/>
      <c r="F503" s="21"/>
      <c r="G503" s="21"/>
    </row>
    <row r="504" ht="15.75" customHeight="1">
      <c r="C504" s="20"/>
      <c r="D504" s="20"/>
      <c r="E504" s="20"/>
      <c r="F504" s="21"/>
      <c r="G504" s="21"/>
    </row>
    <row r="505" ht="15.75" customHeight="1">
      <c r="C505" s="20"/>
      <c r="D505" s="20"/>
      <c r="E505" s="20"/>
      <c r="F505" s="21"/>
      <c r="G505" s="21"/>
    </row>
    <row r="506" ht="15.75" customHeight="1">
      <c r="C506" s="20"/>
      <c r="D506" s="20"/>
      <c r="E506" s="20"/>
      <c r="F506" s="21"/>
      <c r="G506" s="21"/>
    </row>
    <row r="507" ht="15.75" customHeight="1">
      <c r="C507" s="20"/>
      <c r="D507" s="20"/>
      <c r="E507" s="20"/>
      <c r="F507" s="21"/>
      <c r="G507" s="21"/>
    </row>
    <row r="508" ht="15.75" customHeight="1">
      <c r="C508" s="20"/>
      <c r="D508" s="20"/>
      <c r="E508" s="20"/>
      <c r="F508" s="21"/>
      <c r="G508" s="21"/>
    </row>
    <row r="509" ht="15.75" customHeight="1">
      <c r="C509" s="20"/>
      <c r="D509" s="20"/>
      <c r="E509" s="20"/>
      <c r="F509" s="21"/>
      <c r="G509" s="21"/>
    </row>
    <row r="510" ht="15.75" customHeight="1">
      <c r="C510" s="20"/>
      <c r="D510" s="20"/>
      <c r="E510" s="20"/>
      <c r="F510" s="21"/>
      <c r="G510" s="21"/>
    </row>
    <row r="511" ht="15.75" customHeight="1">
      <c r="C511" s="20"/>
      <c r="D511" s="20"/>
      <c r="E511" s="20"/>
      <c r="F511" s="21"/>
      <c r="G511" s="21"/>
    </row>
    <row r="512" ht="15.75" customHeight="1">
      <c r="C512" s="20"/>
      <c r="D512" s="20"/>
      <c r="E512" s="20"/>
      <c r="F512" s="21"/>
      <c r="G512" s="21"/>
    </row>
    <row r="513" ht="15.75" customHeight="1">
      <c r="C513" s="20"/>
      <c r="D513" s="20"/>
      <c r="E513" s="20"/>
      <c r="F513" s="21"/>
      <c r="G513" s="21"/>
    </row>
    <row r="514" ht="15.75" customHeight="1">
      <c r="C514" s="20"/>
      <c r="D514" s="20"/>
      <c r="E514" s="20"/>
      <c r="F514" s="21"/>
      <c r="G514" s="21"/>
    </row>
    <row r="515" ht="15.75" customHeight="1">
      <c r="C515" s="20"/>
      <c r="D515" s="20"/>
      <c r="E515" s="20"/>
      <c r="F515" s="21"/>
      <c r="G515" s="21"/>
    </row>
    <row r="516" ht="15.75" customHeight="1">
      <c r="C516" s="20"/>
      <c r="D516" s="20"/>
      <c r="E516" s="20"/>
      <c r="F516" s="21"/>
      <c r="G516" s="21"/>
    </row>
    <row r="517" ht="15.75" customHeight="1">
      <c r="C517" s="20"/>
      <c r="D517" s="20"/>
      <c r="E517" s="20"/>
      <c r="F517" s="21"/>
      <c r="G517" s="21"/>
    </row>
    <row r="518" ht="15.75" customHeight="1">
      <c r="C518" s="20"/>
      <c r="D518" s="20"/>
      <c r="E518" s="20"/>
      <c r="F518" s="21"/>
      <c r="G518" s="21"/>
    </row>
    <row r="519" ht="15.75" customHeight="1">
      <c r="C519" s="20"/>
      <c r="D519" s="20"/>
      <c r="E519" s="20"/>
      <c r="F519" s="21"/>
      <c r="G519" s="21"/>
    </row>
    <row r="520" ht="15.75" customHeight="1">
      <c r="C520" s="20"/>
      <c r="D520" s="20"/>
      <c r="E520" s="20"/>
      <c r="F520" s="21"/>
      <c r="G520" s="21"/>
    </row>
    <row r="521" ht="15.75" customHeight="1">
      <c r="C521" s="20"/>
      <c r="D521" s="20"/>
      <c r="E521" s="20"/>
      <c r="F521" s="21"/>
      <c r="G521" s="21"/>
    </row>
    <row r="522" ht="15.75" customHeight="1">
      <c r="C522" s="20"/>
      <c r="D522" s="20"/>
      <c r="E522" s="20"/>
      <c r="F522" s="21"/>
      <c r="G522" s="21"/>
    </row>
    <row r="523" ht="15.75" customHeight="1">
      <c r="C523" s="20"/>
      <c r="D523" s="20"/>
      <c r="E523" s="20"/>
      <c r="F523" s="21"/>
      <c r="G523" s="21"/>
    </row>
    <row r="524" ht="15.75" customHeight="1">
      <c r="C524" s="20"/>
      <c r="D524" s="20"/>
      <c r="E524" s="20"/>
      <c r="F524" s="21"/>
      <c r="G524" s="21"/>
    </row>
    <row r="525" ht="15.75" customHeight="1">
      <c r="C525" s="20"/>
      <c r="D525" s="20"/>
      <c r="E525" s="20"/>
      <c r="F525" s="21"/>
      <c r="G525" s="21"/>
    </row>
    <row r="526" ht="15.75" customHeight="1">
      <c r="C526" s="20"/>
      <c r="D526" s="20"/>
      <c r="E526" s="20"/>
      <c r="F526" s="21"/>
      <c r="G526" s="21"/>
    </row>
    <row r="527" ht="15.75" customHeight="1">
      <c r="C527" s="20"/>
      <c r="D527" s="20"/>
      <c r="E527" s="20"/>
      <c r="F527" s="21"/>
      <c r="G527" s="21"/>
    </row>
    <row r="528" ht="15.75" customHeight="1">
      <c r="C528" s="20"/>
      <c r="D528" s="20"/>
      <c r="E528" s="20"/>
      <c r="F528" s="21"/>
      <c r="G528" s="21"/>
    </row>
    <row r="529" ht="15.75" customHeight="1">
      <c r="C529" s="20"/>
      <c r="D529" s="20"/>
      <c r="E529" s="20"/>
      <c r="F529" s="21"/>
      <c r="G529" s="21"/>
    </row>
    <row r="530" ht="15.75" customHeight="1">
      <c r="C530" s="20"/>
      <c r="D530" s="20"/>
      <c r="E530" s="20"/>
      <c r="F530" s="21"/>
      <c r="G530" s="21"/>
    </row>
    <row r="531" ht="15.75" customHeight="1">
      <c r="C531" s="20"/>
      <c r="D531" s="20"/>
      <c r="E531" s="20"/>
      <c r="F531" s="21"/>
      <c r="G531" s="21"/>
    </row>
    <row r="532" ht="15.75" customHeight="1">
      <c r="C532" s="20"/>
      <c r="D532" s="20"/>
      <c r="E532" s="20"/>
      <c r="F532" s="21"/>
      <c r="G532" s="21"/>
    </row>
    <row r="533" ht="15.75" customHeight="1">
      <c r="C533" s="20"/>
      <c r="D533" s="20"/>
      <c r="E533" s="20"/>
      <c r="F533" s="21"/>
      <c r="G533" s="21"/>
    </row>
    <row r="534" ht="15.75" customHeight="1">
      <c r="C534" s="20"/>
      <c r="D534" s="20"/>
      <c r="E534" s="20"/>
      <c r="F534" s="21"/>
      <c r="G534" s="21"/>
    </row>
    <row r="535" ht="15.75" customHeight="1">
      <c r="C535" s="20"/>
      <c r="D535" s="20"/>
      <c r="E535" s="20"/>
      <c r="F535" s="21"/>
      <c r="G535" s="21"/>
    </row>
    <row r="536" ht="15.75" customHeight="1">
      <c r="C536" s="20"/>
      <c r="D536" s="20"/>
      <c r="E536" s="20"/>
      <c r="F536" s="21"/>
      <c r="G536" s="21"/>
    </row>
    <row r="537" ht="15.75" customHeight="1">
      <c r="C537" s="20"/>
      <c r="D537" s="20"/>
      <c r="E537" s="20"/>
      <c r="F537" s="21"/>
      <c r="G537" s="21"/>
    </row>
    <row r="538" ht="15.75" customHeight="1">
      <c r="C538" s="20"/>
      <c r="D538" s="20"/>
      <c r="E538" s="20"/>
      <c r="F538" s="21"/>
      <c r="G538" s="21"/>
    </row>
    <row r="539" ht="15.75" customHeight="1">
      <c r="C539" s="20"/>
      <c r="D539" s="20"/>
      <c r="E539" s="20"/>
      <c r="F539" s="21"/>
      <c r="G539" s="21"/>
    </row>
    <row r="540" ht="15.75" customHeight="1">
      <c r="C540" s="20"/>
      <c r="D540" s="20"/>
      <c r="E540" s="20"/>
      <c r="F540" s="21"/>
      <c r="G540" s="21"/>
    </row>
    <row r="541" ht="15.75" customHeight="1">
      <c r="C541" s="20"/>
      <c r="D541" s="20"/>
      <c r="E541" s="20"/>
      <c r="F541" s="21"/>
      <c r="G541" s="21"/>
    </row>
    <row r="542" ht="15.75" customHeight="1">
      <c r="C542" s="20"/>
      <c r="D542" s="20"/>
      <c r="E542" s="20"/>
      <c r="F542" s="21"/>
      <c r="G542" s="21"/>
    </row>
    <row r="543" ht="15.75" customHeight="1">
      <c r="C543" s="20"/>
      <c r="D543" s="20"/>
      <c r="E543" s="20"/>
      <c r="F543" s="21"/>
      <c r="G543" s="21"/>
    </row>
    <row r="544" ht="15.75" customHeight="1">
      <c r="C544" s="20"/>
      <c r="D544" s="20"/>
      <c r="E544" s="20"/>
      <c r="F544" s="21"/>
      <c r="G544" s="21"/>
    </row>
    <row r="545" ht="15.75" customHeight="1">
      <c r="C545" s="20"/>
      <c r="D545" s="20"/>
      <c r="E545" s="20"/>
      <c r="F545" s="21"/>
      <c r="G545" s="21"/>
    </row>
    <row r="546" ht="15.75" customHeight="1">
      <c r="C546" s="20"/>
      <c r="D546" s="20"/>
      <c r="E546" s="20"/>
      <c r="F546" s="21"/>
      <c r="G546" s="21"/>
    </row>
    <row r="547" ht="15.75" customHeight="1">
      <c r="C547" s="20"/>
      <c r="D547" s="20"/>
      <c r="E547" s="20"/>
      <c r="F547" s="21"/>
      <c r="G547" s="21"/>
    </row>
    <row r="548" ht="15.75" customHeight="1">
      <c r="C548" s="20"/>
      <c r="D548" s="20"/>
      <c r="E548" s="20"/>
      <c r="F548" s="21"/>
      <c r="G548" s="21"/>
    </row>
    <row r="549" ht="15.75" customHeight="1">
      <c r="C549" s="20"/>
      <c r="D549" s="20"/>
      <c r="E549" s="20"/>
      <c r="F549" s="21"/>
      <c r="G549" s="21"/>
    </row>
    <row r="550" ht="15.75" customHeight="1">
      <c r="C550" s="20"/>
      <c r="D550" s="20"/>
      <c r="E550" s="20"/>
      <c r="F550" s="21"/>
      <c r="G550" s="21"/>
    </row>
    <row r="551" ht="15.75" customHeight="1">
      <c r="C551" s="20"/>
      <c r="D551" s="20"/>
      <c r="E551" s="20"/>
      <c r="F551" s="21"/>
      <c r="G551" s="21"/>
    </row>
    <row r="552" ht="15.75" customHeight="1">
      <c r="C552" s="20"/>
      <c r="D552" s="20"/>
      <c r="E552" s="20"/>
      <c r="F552" s="21"/>
      <c r="G552" s="21"/>
    </row>
    <row r="553" ht="15.75" customHeight="1">
      <c r="C553" s="20"/>
      <c r="D553" s="20"/>
      <c r="E553" s="20"/>
      <c r="F553" s="21"/>
      <c r="G553" s="21"/>
    </row>
    <row r="554" ht="15.75" customHeight="1">
      <c r="C554" s="20"/>
      <c r="D554" s="20"/>
      <c r="E554" s="20"/>
      <c r="F554" s="21"/>
      <c r="G554" s="21"/>
    </row>
    <row r="555" ht="15.75" customHeight="1">
      <c r="C555" s="20"/>
      <c r="D555" s="20"/>
      <c r="E555" s="20"/>
      <c r="F555" s="21"/>
      <c r="G555" s="21"/>
    </row>
    <row r="556" ht="15.75" customHeight="1">
      <c r="C556" s="20"/>
      <c r="D556" s="20"/>
      <c r="E556" s="20"/>
      <c r="F556" s="21"/>
      <c r="G556" s="21"/>
    </row>
    <row r="557" ht="15.75" customHeight="1">
      <c r="C557" s="20"/>
      <c r="D557" s="20"/>
      <c r="E557" s="20"/>
      <c r="F557" s="21"/>
      <c r="G557" s="21"/>
    </row>
    <row r="558" ht="15.75" customHeight="1">
      <c r="C558" s="20"/>
      <c r="D558" s="20"/>
      <c r="E558" s="20"/>
      <c r="F558" s="21"/>
      <c r="G558" s="21"/>
    </row>
    <row r="559" ht="15.75" customHeight="1">
      <c r="C559" s="20"/>
      <c r="D559" s="20"/>
      <c r="E559" s="20"/>
      <c r="F559" s="21"/>
      <c r="G559" s="21"/>
    </row>
    <row r="560" ht="15.75" customHeight="1">
      <c r="C560" s="20"/>
      <c r="D560" s="20"/>
      <c r="E560" s="20"/>
      <c r="F560" s="21"/>
      <c r="G560" s="21"/>
    </row>
    <row r="561" ht="15.75" customHeight="1">
      <c r="C561" s="20"/>
      <c r="D561" s="20"/>
      <c r="E561" s="20"/>
      <c r="F561" s="21"/>
      <c r="G561" s="21"/>
    </row>
    <row r="562" ht="15.75" customHeight="1">
      <c r="C562" s="20"/>
      <c r="D562" s="20"/>
      <c r="E562" s="20"/>
      <c r="F562" s="21"/>
      <c r="G562" s="21"/>
    </row>
    <row r="563" ht="15.75" customHeight="1">
      <c r="C563" s="20"/>
      <c r="D563" s="20"/>
      <c r="E563" s="20"/>
      <c r="F563" s="21"/>
      <c r="G563" s="21"/>
    </row>
    <row r="564" ht="15.75" customHeight="1">
      <c r="C564" s="20"/>
      <c r="D564" s="20"/>
      <c r="E564" s="20"/>
      <c r="F564" s="21"/>
      <c r="G564" s="21"/>
    </row>
    <row r="565" ht="15.75" customHeight="1">
      <c r="C565" s="20"/>
      <c r="D565" s="20"/>
      <c r="E565" s="20"/>
      <c r="F565" s="21"/>
      <c r="G565" s="21"/>
    </row>
    <row r="566" ht="15.75" customHeight="1">
      <c r="C566" s="20"/>
      <c r="D566" s="20"/>
      <c r="E566" s="20"/>
      <c r="F566" s="21"/>
      <c r="G566" s="21"/>
    </row>
    <row r="567" ht="15.75" customHeight="1">
      <c r="C567" s="20"/>
      <c r="D567" s="20"/>
      <c r="E567" s="20"/>
      <c r="F567" s="21"/>
      <c r="G567" s="21"/>
    </row>
    <row r="568" ht="15.75" customHeight="1">
      <c r="C568" s="20"/>
      <c r="D568" s="20"/>
      <c r="E568" s="20"/>
      <c r="F568" s="21"/>
      <c r="G568" s="21"/>
    </row>
    <row r="569" ht="15.75" customHeight="1">
      <c r="C569" s="20"/>
      <c r="D569" s="20"/>
      <c r="E569" s="20"/>
      <c r="F569" s="21"/>
      <c r="G569" s="21"/>
    </row>
    <row r="570" ht="15.75" customHeight="1">
      <c r="C570" s="20"/>
      <c r="D570" s="20"/>
      <c r="E570" s="20"/>
      <c r="F570" s="21"/>
      <c r="G570" s="21"/>
    </row>
    <row r="571" ht="15.75" customHeight="1">
      <c r="C571" s="20"/>
      <c r="D571" s="20"/>
      <c r="E571" s="20"/>
      <c r="F571" s="21"/>
      <c r="G571" s="21"/>
    </row>
    <row r="572" ht="15.75" customHeight="1">
      <c r="C572" s="20"/>
      <c r="D572" s="20"/>
      <c r="E572" s="20"/>
      <c r="F572" s="21"/>
      <c r="G572" s="21"/>
    </row>
    <row r="573" ht="15.75" customHeight="1">
      <c r="C573" s="20"/>
      <c r="D573" s="20"/>
      <c r="E573" s="20"/>
      <c r="F573" s="21"/>
      <c r="G573" s="21"/>
    </row>
    <row r="574" ht="15.75" customHeight="1">
      <c r="C574" s="20"/>
      <c r="D574" s="20"/>
      <c r="E574" s="20"/>
      <c r="F574" s="21"/>
      <c r="G574" s="21"/>
    </row>
    <row r="575" ht="15.75" customHeight="1">
      <c r="C575" s="20"/>
      <c r="D575" s="20"/>
      <c r="E575" s="20"/>
      <c r="F575" s="21"/>
      <c r="G575" s="21"/>
    </row>
    <row r="576" ht="15.75" customHeight="1">
      <c r="C576" s="20"/>
      <c r="D576" s="20"/>
      <c r="E576" s="20"/>
      <c r="F576" s="21"/>
      <c r="G576" s="21"/>
    </row>
    <row r="577" ht="15.75" customHeight="1">
      <c r="C577" s="20"/>
      <c r="D577" s="20"/>
      <c r="E577" s="20"/>
      <c r="F577" s="21"/>
      <c r="G577" s="21"/>
    </row>
    <row r="578" ht="15.75" customHeight="1">
      <c r="C578" s="20"/>
      <c r="D578" s="20"/>
      <c r="E578" s="20"/>
      <c r="F578" s="21"/>
      <c r="G578" s="21"/>
    </row>
    <row r="579" ht="15.75" customHeight="1">
      <c r="C579" s="20"/>
      <c r="D579" s="20"/>
      <c r="E579" s="20"/>
      <c r="F579" s="21"/>
      <c r="G579" s="21"/>
    </row>
    <row r="580" ht="15.75" customHeight="1">
      <c r="C580" s="20"/>
      <c r="D580" s="20"/>
      <c r="E580" s="20"/>
      <c r="F580" s="21"/>
      <c r="G580" s="21"/>
    </row>
    <row r="581" ht="15.75" customHeight="1">
      <c r="C581" s="20"/>
      <c r="D581" s="20"/>
      <c r="E581" s="20"/>
      <c r="F581" s="21"/>
      <c r="G581" s="21"/>
    </row>
    <row r="582" ht="15.75" customHeight="1">
      <c r="C582" s="20"/>
      <c r="D582" s="20"/>
      <c r="E582" s="20"/>
      <c r="F582" s="21"/>
      <c r="G582" s="21"/>
    </row>
    <row r="583" ht="15.75" customHeight="1">
      <c r="C583" s="20"/>
      <c r="D583" s="20"/>
      <c r="E583" s="20"/>
      <c r="F583" s="21"/>
      <c r="G583" s="21"/>
    </row>
    <row r="584" ht="15.75" customHeight="1">
      <c r="C584" s="20"/>
      <c r="D584" s="20"/>
      <c r="E584" s="20"/>
      <c r="F584" s="21"/>
      <c r="G584" s="21"/>
    </row>
    <row r="585" ht="15.75" customHeight="1">
      <c r="C585" s="20"/>
      <c r="D585" s="20"/>
      <c r="E585" s="20"/>
      <c r="F585" s="21"/>
      <c r="G585" s="21"/>
    </row>
    <row r="586" ht="15.75" customHeight="1">
      <c r="C586" s="20"/>
      <c r="D586" s="20"/>
      <c r="E586" s="20"/>
      <c r="F586" s="21"/>
      <c r="G586" s="21"/>
    </row>
    <row r="587" ht="15.75" customHeight="1">
      <c r="C587" s="20"/>
      <c r="D587" s="20"/>
      <c r="E587" s="20"/>
      <c r="F587" s="21"/>
      <c r="G587" s="21"/>
    </row>
    <row r="588" ht="15.75" customHeight="1">
      <c r="C588" s="20"/>
      <c r="D588" s="20"/>
      <c r="E588" s="20"/>
      <c r="F588" s="21"/>
      <c r="G588" s="21"/>
    </row>
    <row r="589" ht="15.75" customHeight="1">
      <c r="C589" s="20"/>
      <c r="D589" s="20"/>
      <c r="E589" s="20"/>
      <c r="F589" s="21"/>
      <c r="G589" s="21"/>
    </row>
    <row r="590" ht="15.75" customHeight="1">
      <c r="C590" s="20"/>
      <c r="D590" s="20"/>
      <c r="E590" s="20"/>
      <c r="F590" s="21"/>
      <c r="G590" s="21"/>
    </row>
    <row r="591" ht="15.75" customHeight="1">
      <c r="C591" s="20"/>
      <c r="D591" s="20"/>
      <c r="E591" s="20"/>
      <c r="F591" s="21"/>
      <c r="G591" s="21"/>
    </row>
    <row r="592" ht="15.75" customHeight="1">
      <c r="C592" s="20"/>
      <c r="D592" s="20"/>
      <c r="E592" s="20"/>
      <c r="F592" s="21"/>
      <c r="G592" s="21"/>
    </row>
    <row r="593" ht="15.75" customHeight="1">
      <c r="C593" s="20"/>
      <c r="D593" s="20"/>
      <c r="E593" s="20"/>
      <c r="F593" s="21"/>
      <c r="G593" s="21"/>
    </row>
    <row r="594" ht="15.75" customHeight="1">
      <c r="C594" s="20"/>
      <c r="D594" s="20"/>
      <c r="E594" s="20"/>
      <c r="F594" s="21"/>
      <c r="G594" s="21"/>
    </row>
    <row r="595" ht="15.75" customHeight="1">
      <c r="C595" s="20"/>
      <c r="D595" s="20"/>
      <c r="E595" s="20"/>
      <c r="F595" s="21"/>
      <c r="G595" s="21"/>
    </row>
    <row r="596" ht="15.75" customHeight="1">
      <c r="C596" s="20"/>
      <c r="D596" s="20"/>
      <c r="E596" s="20"/>
      <c r="F596" s="21"/>
      <c r="G596" s="21"/>
    </row>
    <row r="597" ht="15.75" customHeight="1">
      <c r="C597" s="20"/>
      <c r="D597" s="20"/>
      <c r="E597" s="20"/>
      <c r="F597" s="21"/>
      <c r="G597" s="21"/>
    </row>
    <row r="598" ht="15.75" customHeight="1">
      <c r="C598" s="20"/>
      <c r="D598" s="20"/>
      <c r="E598" s="20"/>
      <c r="F598" s="21"/>
      <c r="G598" s="21"/>
    </row>
    <row r="599" ht="15.75" customHeight="1">
      <c r="C599" s="20"/>
      <c r="D599" s="20"/>
      <c r="E599" s="20"/>
      <c r="F599" s="21"/>
      <c r="G599" s="21"/>
    </row>
    <row r="600" ht="15.75" customHeight="1">
      <c r="C600" s="20"/>
      <c r="D600" s="20"/>
      <c r="E600" s="20"/>
      <c r="F600" s="21"/>
      <c r="G600" s="21"/>
    </row>
    <row r="601" ht="15.75" customHeight="1">
      <c r="C601" s="20"/>
      <c r="D601" s="20"/>
      <c r="E601" s="20"/>
      <c r="F601" s="21"/>
      <c r="G601" s="21"/>
    </row>
    <row r="602" ht="15.75" customHeight="1">
      <c r="C602" s="20"/>
      <c r="D602" s="20"/>
      <c r="E602" s="20"/>
      <c r="F602" s="21"/>
      <c r="G602" s="21"/>
    </row>
    <row r="603" ht="15.75" customHeight="1">
      <c r="C603" s="20"/>
      <c r="D603" s="20"/>
      <c r="E603" s="20"/>
      <c r="F603" s="21"/>
      <c r="G603" s="21"/>
    </row>
    <row r="604" ht="15.75" customHeight="1">
      <c r="C604" s="20"/>
      <c r="D604" s="20"/>
      <c r="E604" s="20"/>
      <c r="F604" s="21"/>
      <c r="G604" s="21"/>
    </row>
    <row r="605" ht="15.75" customHeight="1">
      <c r="C605" s="20"/>
      <c r="D605" s="20"/>
      <c r="E605" s="20"/>
      <c r="F605" s="21"/>
      <c r="G605" s="21"/>
    </row>
    <row r="606" ht="15.75" customHeight="1">
      <c r="C606" s="20"/>
      <c r="D606" s="20"/>
      <c r="E606" s="20"/>
      <c r="F606" s="21"/>
      <c r="G606" s="21"/>
    </row>
    <row r="607" ht="15.75" customHeight="1">
      <c r="C607" s="20"/>
      <c r="D607" s="20"/>
      <c r="E607" s="20"/>
      <c r="F607" s="21"/>
      <c r="G607" s="21"/>
    </row>
    <row r="608" ht="15.75" customHeight="1">
      <c r="C608" s="20"/>
      <c r="D608" s="20"/>
      <c r="E608" s="20"/>
      <c r="F608" s="21"/>
      <c r="G608" s="21"/>
    </row>
    <row r="609" ht="15.75" customHeight="1">
      <c r="C609" s="20"/>
      <c r="D609" s="20"/>
      <c r="E609" s="20"/>
      <c r="F609" s="21"/>
      <c r="G609" s="21"/>
    </row>
    <row r="610" ht="15.75" customHeight="1">
      <c r="C610" s="20"/>
      <c r="D610" s="20"/>
      <c r="E610" s="20"/>
      <c r="F610" s="21"/>
      <c r="G610" s="21"/>
    </row>
    <row r="611" ht="15.75" customHeight="1">
      <c r="C611" s="20"/>
      <c r="D611" s="20"/>
      <c r="E611" s="20"/>
      <c r="F611" s="21"/>
      <c r="G611" s="21"/>
    </row>
    <row r="612" ht="15.75" customHeight="1">
      <c r="C612" s="20"/>
      <c r="D612" s="20"/>
      <c r="E612" s="20"/>
      <c r="F612" s="21"/>
      <c r="G612" s="21"/>
    </row>
    <row r="613" ht="15.75" customHeight="1">
      <c r="C613" s="20"/>
      <c r="D613" s="20"/>
      <c r="E613" s="20"/>
      <c r="F613" s="21"/>
      <c r="G613" s="21"/>
    </row>
    <row r="614" ht="15.75" customHeight="1">
      <c r="C614" s="20"/>
      <c r="D614" s="20"/>
      <c r="E614" s="20"/>
      <c r="F614" s="21"/>
      <c r="G614" s="21"/>
    </row>
    <row r="615" ht="15.75" customHeight="1">
      <c r="C615" s="20"/>
      <c r="D615" s="20"/>
      <c r="E615" s="20"/>
      <c r="F615" s="21"/>
      <c r="G615" s="21"/>
    </row>
    <row r="616" ht="15.75" customHeight="1">
      <c r="C616" s="20"/>
      <c r="D616" s="20"/>
      <c r="E616" s="20"/>
      <c r="F616" s="21"/>
      <c r="G616" s="21"/>
    </row>
    <row r="617" ht="15.75" customHeight="1">
      <c r="C617" s="20"/>
      <c r="D617" s="20"/>
      <c r="E617" s="20"/>
      <c r="F617" s="21"/>
      <c r="G617" s="21"/>
    </row>
    <row r="618" ht="15.75" customHeight="1">
      <c r="C618" s="20"/>
      <c r="D618" s="20"/>
      <c r="E618" s="20"/>
      <c r="F618" s="21"/>
      <c r="G618" s="21"/>
    </row>
    <row r="619" ht="15.75" customHeight="1">
      <c r="C619" s="20"/>
      <c r="D619" s="20"/>
      <c r="E619" s="20"/>
      <c r="F619" s="21"/>
      <c r="G619" s="21"/>
    </row>
    <row r="620" ht="15.75" customHeight="1">
      <c r="C620" s="20"/>
      <c r="D620" s="20"/>
      <c r="E620" s="20"/>
      <c r="F620" s="21"/>
      <c r="G620" s="21"/>
    </row>
    <row r="621" ht="15.75" customHeight="1">
      <c r="C621" s="20"/>
      <c r="D621" s="20"/>
      <c r="E621" s="20"/>
      <c r="F621" s="21"/>
      <c r="G621" s="21"/>
    </row>
    <row r="622" ht="15.75" customHeight="1">
      <c r="C622" s="20"/>
      <c r="D622" s="20"/>
      <c r="E622" s="20"/>
      <c r="F622" s="21"/>
      <c r="G622" s="21"/>
    </row>
    <row r="623" ht="15.75" customHeight="1">
      <c r="C623" s="20"/>
      <c r="D623" s="20"/>
      <c r="E623" s="20"/>
      <c r="F623" s="21"/>
      <c r="G623" s="21"/>
    </row>
    <row r="624" ht="15.75" customHeight="1">
      <c r="C624" s="20"/>
      <c r="D624" s="20"/>
      <c r="E624" s="20"/>
      <c r="F624" s="21"/>
      <c r="G624" s="21"/>
    </row>
    <row r="625" ht="15.75" customHeight="1">
      <c r="C625" s="20"/>
      <c r="D625" s="20"/>
      <c r="E625" s="20"/>
      <c r="F625" s="21"/>
      <c r="G625" s="21"/>
    </row>
    <row r="626" ht="15.75" customHeight="1">
      <c r="C626" s="20"/>
      <c r="D626" s="20"/>
      <c r="E626" s="20"/>
      <c r="F626" s="21"/>
      <c r="G626" s="21"/>
    </row>
    <row r="627" ht="15.75" customHeight="1">
      <c r="C627" s="20"/>
      <c r="D627" s="20"/>
      <c r="E627" s="20"/>
      <c r="F627" s="21"/>
      <c r="G627" s="21"/>
    </row>
    <row r="628" ht="15.75" customHeight="1">
      <c r="C628" s="20"/>
      <c r="D628" s="20"/>
      <c r="E628" s="20"/>
      <c r="F628" s="21"/>
      <c r="G628" s="21"/>
    </row>
    <row r="629" ht="15.75" customHeight="1">
      <c r="C629" s="20"/>
      <c r="D629" s="20"/>
      <c r="E629" s="20"/>
      <c r="F629" s="21"/>
      <c r="G629" s="21"/>
    </row>
    <row r="630" ht="15.75" customHeight="1">
      <c r="C630" s="20"/>
      <c r="D630" s="20"/>
      <c r="E630" s="20"/>
      <c r="F630" s="21"/>
      <c r="G630" s="21"/>
    </row>
    <row r="631" ht="15.75" customHeight="1">
      <c r="C631" s="20"/>
      <c r="D631" s="20"/>
      <c r="E631" s="20"/>
      <c r="F631" s="21"/>
      <c r="G631" s="21"/>
    </row>
    <row r="632" ht="15.75" customHeight="1">
      <c r="C632" s="20"/>
      <c r="D632" s="20"/>
      <c r="E632" s="20"/>
      <c r="F632" s="21"/>
      <c r="G632" s="21"/>
    </row>
    <row r="633" ht="15.75" customHeight="1">
      <c r="C633" s="20"/>
      <c r="D633" s="20"/>
      <c r="E633" s="20"/>
      <c r="F633" s="21"/>
      <c r="G633" s="21"/>
    </row>
    <row r="634" ht="15.75" customHeight="1">
      <c r="C634" s="20"/>
      <c r="D634" s="20"/>
      <c r="E634" s="20"/>
      <c r="F634" s="21"/>
      <c r="G634" s="21"/>
    </row>
    <row r="635" ht="15.75" customHeight="1">
      <c r="C635" s="20"/>
      <c r="D635" s="20"/>
      <c r="E635" s="20"/>
      <c r="F635" s="21"/>
      <c r="G635" s="21"/>
    </row>
    <row r="636" ht="15.75" customHeight="1">
      <c r="C636" s="20"/>
      <c r="D636" s="20"/>
      <c r="E636" s="20"/>
      <c r="F636" s="21"/>
      <c r="G636" s="21"/>
    </row>
    <row r="637" ht="15.75" customHeight="1">
      <c r="C637" s="20"/>
      <c r="D637" s="20"/>
      <c r="E637" s="20"/>
      <c r="F637" s="21"/>
      <c r="G637" s="21"/>
    </row>
    <row r="638" ht="15.75" customHeight="1">
      <c r="C638" s="20"/>
      <c r="D638" s="20"/>
      <c r="E638" s="20"/>
      <c r="F638" s="21"/>
      <c r="G638" s="21"/>
    </row>
    <row r="639" ht="15.75" customHeight="1">
      <c r="C639" s="20"/>
      <c r="D639" s="20"/>
      <c r="E639" s="20"/>
      <c r="F639" s="21"/>
      <c r="G639" s="21"/>
    </row>
    <row r="640" ht="15.75" customHeight="1">
      <c r="C640" s="20"/>
      <c r="D640" s="20"/>
      <c r="E640" s="20"/>
      <c r="F640" s="21"/>
      <c r="G640" s="21"/>
    </row>
    <row r="641" ht="15.75" customHeight="1">
      <c r="C641" s="20"/>
      <c r="D641" s="20"/>
      <c r="E641" s="20"/>
      <c r="F641" s="21"/>
      <c r="G641" s="21"/>
    </row>
    <row r="642" ht="15.75" customHeight="1">
      <c r="C642" s="20"/>
      <c r="D642" s="20"/>
      <c r="E642" s="20"/>
      <c r="F642" s="21"/>
      <c r="G642" s="21"/>
    </row>
    <row r="643" ht="15.75" customHeight="1">
      <c r="C643" s="20"/>
      <c r="D643" s="20"/>
      <c r="E643" s="20"/>
      <c r="F643" s="21"/>
      <c r="G643" s="21"/>
    </row>
    <row r="644" ht="15.75" customHeight="1">
      <c r="C644" s="20"/>
      <c r="D644" s="20"/>
      <c r="E644" s="20"/>
      <c r="F644" s="21"/>
      <c r="G644" s="21"/>
    </row>
    <row r="645" ht="15.75" customHeight="1">
      <c r="C645" s="20"/>
      <c r="D645" s="20"/>
      <c r="E645" s="20"/>
      <c r="F645" s="21"/>
      <c r="G645" s="21"/>
    </row>
    <row r="646" ht="15.75" customHeight="1">
      <c r="C646" s="20"/>
      <c r="D646" s="20"/>
      <c r="E646" s="20"/>
      <c r="F646" s="21"/>
      <c r="G646" s="21"/>
    </row>
    <row r="647" ht="15.75" customHeight="1">
      <c r="C647" s="20"/>
      <c r="D647" s="20"/>
      <c r="E647" s="20"/>
      <c r="F647" s="21"/>
      <c r="G647" s="21"/>
    </row>
    <row r="648" ht="15.75" customHeight="1">
      <c r="C648" s="20"/>
      <c r="D648" s="20"/>
      <c r="E648" s="20"/>
      <c r="F648" s="21"/>
      <c r="G648" s="21"/>
    </row>
    <row r="649" ht="15.75" customHeight="1">
      <c r="C649" s="20"/>
      <c r="D649" s="20"/>
      <c r="E649" s="20"/>
      <c r="F649" s="21"/>
      <c r="G649" s="21"/>
    </row>
    <row r="650" ht="15.75" customHeight="1">
      <c r="C650" s="20"/>
      <c r="D650" s="20"/>
      <c r="E650" s="20"/>
      <c r="F650" s="21"/>
      <c r="G650" s="21"/>
    </row>
    <row r="651" ht="15.75" customHeight="1">
      <c r="C651" s="20"/>
      <c r="D651" s="20"/>
      <c r="E651" s="20"/>
      <c r="F651" s="21"/>
      <c r="G651" s="21"/>
    </row>
    <row r="652" ht="15.75" customHeight="1">
      <c r="C652" s="20"/>
      <c r="D652" s="20"/>
      <c r="E652" s="20"/>
      <c r="F652" s="21"/>
      <c r="G652" s="21"/>
    </row>
    <row r="653" ht="15.75" customHeight="1">
      <c r="C653" s="20"/>
      <c r="D653" s="20"/>
      <c r="E653" s="20"/>
      <c r="F653" s="21"/>
      <c r="G653" s="21"/>
    </row>
    <row r="654" ht="15.75" customHeight="1">
      <c r="C654" s="20"/>
      <c r="D654" s="20"/>
      <c r="E654" s="20"/>
      <c r="F654" s="21"/>
      <c r="G654" s="21"/>
    </row>
    <row r="655" ht="15.75" customHeight="1">
      <c r="C655" s="20"/>
      <c r="D655" s="20"/>
      <c r="E655" s="20"/>
      <c r="F655" s="21"/>
      <c r="G655" s="21"/>
    </row>
    <row r="656" ht="15.75" customHeight="1">
      <c r="C656" s="20"/>
      <c r="D656" s="20"/>
      <c r="E656" s="20"/>
      <c r="F656" s="21"/>
      <c r="G656" s="21"/>
    </row>
    <row r="657" ht="15.75" customHeight="1">
      <c r="C657" s="20"/>
      <c r="D657" s="20"/>
      <c r="E657" s="20"/>
      <c r="F657" s="21"/>
      <c r="G657" s="21"/>
    </row>
    <row r="658" ht="15.75" customHeight="1">
      <c r="C658" s="20"/>
      <c r="D658" s="20"/>
      <c r="E658" s="20"/>
      <c r="F658" s="21"/>
      <c r="G658" s="21"/>
    </row>
    <row r="659" ht="15.75" customHeight="1">
      <c r="C659" s="20"/>
      <c r="D659" s="20"/>
      <c r="E659" s="20"/>
      <c r="F659" s="21"/>
      <c r="G659" s="21"/>
    </row>
    <row r="660" ht="15.75" customHeight="1">
      <c r="C660" s="20"/>
      <c r="D660" s="20"/>
      <c r="E660" s="20"/>
      <c r="F660" s="21"/>
      <c r="G660" s="21"/>
    </row>
    <row r="661" ht="15.75" customHeight="1">
      <c r="C661" s="20"/>
      <c r="D661" s="20"/>
      <c r="E661" s="20"/>
      <c r="F661" s="21"/>
      <c r="G661" s="21"/>
    </row>
    <row r="662" ht="15.75" customHeight="1">
      <c r="C662" s="20"/>
      <c r="D662" s="20"/>
      <c r="E662" s="20"/>
      <c r="F662" s="21"/>
      <c r="G662" s="21"/>
    </row>
    <row r="663" ht="15.75" customHeight="1">
      <c r="C663" s="20"/>
      <c r="D663" s="20"/>
      <c r="E663" s="20"/>
      <c r="F663" s="21"/>
      <c r="G663" s="21"/>
    </row>
    <row r="664" ht="15.75" customHeight="1">
      <c r="C664" s="20"/>
      <c r="D664" s="20"/>
      <c r="E664" s="20"/>
      <c r="F664" s="21"/>
      <c r="G664" s="21"/>
    </row>
    <row r="665" ht="15.75" customHeight="1">
      <c r="C665" s="20"/>
      <c r="D665" s="20"/>
      <c r="E665" s="20"/>
      <c r="F665" s="21"/>
      <c r="G665" s="21"/>
    </row>
    <row r="666" ht="15.75" customHeight="1">
      <c r="C666" s="20"/>
      <c r="D666" s="20"/>
      <c r="E666" s="20"/>
      <c r="F666" s="21"/>
      <c r="G666" s="21"/>
    </row>
    <row r="667" ht="15.75" customHeight="1">
      <c r="C667" s="20"/>
      <c r="D667" s="20"/>
      <c r="E667" s="20"/>
      <c r="F667" s="21"/>
      <c r="G667" s="21"/>
    </row>
    <row r="668" ht="15.75" customHeight="1">
      <c r="C668" s="20"/>
      <c r="D668" s="20"/>
      <c r="E668" s="20"/>
      <c r="F668" s="21"/>
      <c r="G668" s="21"/>
    </row>
    <row r="669" ht="15.75" customHeight="1">
      <c r="C669" s="20"/>
      <c r="D669" s="20"/>
      <c r="E669" s="20"/>
      <c r="F669" s="21"/>
      <c r="G669" s="21"/>
    </row>
    <row r="670" ht="15.75" customHeight="1">
      <c r="C670" s="20"/>
      <c r="D670" s="20"/>
      <c r="E670" s="20"/>
      <c r="F670" s="21"/>
      <c r="G670" s="21"/>
    </row>
    <row r="671" ht="15.75" customHeight="1">
      <c r="C671" s="20"/>
      <c r="D671" s="20"/>
      <c r="E671" s="20"/>
      <c r="F671" s="21"/>
      <c r="G671" s="21"/>
    </row>
    <row r="672" ht="15.75" customHeight="1">
      <c r="C672" s="20"/>
      <c r="D672" s="20"/>
      <c r="E672" s="20"/>
      <c r="F672" s="21"/>
      <c r="G672" s="21"/>
    </row>
    <row r="673" ht="15.75" customHeight="1">
      <c r="C673" s="20"/>
      <c r="D673" s="20"/>
      <c r="E673" s="20"/>
      <c r="F673" s="21"/>
      <c r="G673" s="21"/>
    </row>
    <row r="674" ht="15.75" customHeight="1">
      <c r="C674" s="20"/>
      <c r="D674" s="20"/>
      <c r="E674" s="20"/>
      <c r="F674" s="21"/>
      <c r="G674" s="21"/>
    </row>
    <row r="675" ht="15.75" customHeight="1">
      <c r="C675" s="20"/>
      <c r="D675" s="20"/>
      <c r="E675" s="20"/>
      <c r="F675" s="21"/>
      <c r="G675" s="21"/>
    </row>
    <row r="676" ht="15.75" customHeight="1">
      <c r="C676" s="20"/>
      <c r="D676" s="20"/>
      <c r="E676" s="20"/>
      <c r="F676" s="21"/>
      <c r="G676" s="21"/>
    </row>
    <row r="677" ht="15.75" customHeight="1">
      <c r="C677" s="20"/>
      <c r="D677" s="20"/>
      <c r="E677" s="20"/>
      <c r="F677" s="21"/>
      <c r="G677" s="21"/>
    </row>
    <row r="678" ht="15.75" customHeight="1">
      <c r="C678" s="20"/>
      <c r="D678" s="20"/>
      <c r="E678" s="20"/>
      <c r="F678" s="21"/>
      <c r="G678" s="21"/>
    </row>
    <row r="679" ht="15.75" customHeight="1">
      <c r="C679" s="20"/>
      <c r="D679" s="20"/>
      <c r="E679" s="20"/>
      <c r="F679" s="21"/>
      <c r="G679" s="21"/>
    </row>
    <row r="680" ht="15.75" customHeight="1">
      <c r="C680" s="20"/>
      <c r="D680" s="20"/>
      <c r="E680" s="20"/>
      <c r="F680" s="21"/>
      <c r="G680" s="21"/>
    </row>
    <row r="681" ht="15.75" customHeight="1">
      <c r="C681" s="20"/>
      <c r="D681" s="20"/>
      <c r="E681" s="20"/>
      <c r="F681" s="21"/>
      <c r="G681" s="21"/>
    </row>
    <row r="682" ht="15.75" customHeight="1">
      <c r="C682" s="20"/>
      <c r="D682" s="20"/>
      <c r="E682" s="20"/>
      <c r="F682" s="21"/>
      <c r="G682" s="21"/>
    </row>
    <row r="683" ht="15.75" customHeight="1">
      <c r="C683" s="20"/>
      <c r="D683" s="20"/>
      <c r="E683" s="20"/>
      <c r="F683" s="21"/>
      <c r="G683" s="21"/>
    </row>
    <row r="684" ht="15.75" customHeight="1">
      <c r="C684" s="20"/>
      <c r="D684" s="20"/>
      <c r="E684" s="20"/>
      <c r="F684" s="21"/>
      <c r="G684" s="21"/>
    </row>
    <row r="685" ht="15.75" customHeight="1">
      <c r="C685" s="20"/>
      <c r="D685" s="20"/>
      <c r="E685" s="20"/>
      <c r="F685" s="21"/>
      <c r="G685" s="21"/>
    </row>
    <row r="686" ht="15.75" customHeight="1">
      <c r="C686" s="20"/>
      <c r="D686" s="20"/>
      <c r="E686" s="20"/>
      <c r="F686" s="21"/>
      <c r="G686" s="21"/>
    </row>
    <row r="687" ht="15.75" customHeight="1">
      <c r="C687" s="20"/>
      <c r="D687" s="20"/>
      <c r="E687" s="20"/>
      <c r="F687" s="21"/>
      <c r="G687" s="21"/>
    </row>
    <row r="688" ht="15.75" customHeight="1">
      <c r="C688" s="20"/>
      <c r="D688" s="20"/>
      <c r="E688" s="20"/>
      <c r="F688" s="21"/>
      <c r="G688" s="21"/>
    </row>
    <row r="689" ht="15.75" customHeight="1">
      <c r="C689" s="20"/>
      <c r="D689" s="20"/>
      <c r="E689" s="20"/>
      <c r="F689" s="21"/>
      <c r="G689" s="21"/>
    </row>
    <row r="690" ht="15.75" customHeight="1">
      <c r="C690" s="20"/>
      <c r="D690" s="20"/>
      <c r="E690" s="20"/>
      <c r="F690" s="21"/>
      <c r="G690" s="21"/>
    </row>
    <row r="691" ht="15.75" customHeight="1">
      <c r="C691" s="20"/>
      <c r="D691" s="20"/>
      <c r="E691" s="20"/>
      <c r="F691" s="21"/>
      <c r="G691" s="21"/>
    </row>
    <row r="692" ht="15.75" customHeight="1">
      <c r="C692" s="20"/>
      <c r="D692" s="20"/>
      <c r="E692" s="20"/>
      <c r="F692" s="21"/>
      <c r="G692" s="21"/>
    </row>
    <row r="693" ht="15.75" customHeight="1">
      <c r="C693" s="20"/>
      <c r="D693" s="20"/>
      <c r="E693" s="20"/>
      <c r="F693" s="21"/>
      <c r="G693" s="21"/>
    </row>
    <row r="694" ht="15.75" customHeight="1">
      <c r="C694" s="20"/>
      <c r="D694" s="20"/>
      <c r="E694" s="20"/>
      <c r="F694" s="21"/>
      <c r="G694" s="21"/>
    </row>
    <row r="695" ht="15.75" customHeight="1">
      <c r="C695" s="20"/>
      <c r="D695" s="20"/>
      <c r="E695" s="20"/>
      <c r="F695" s="21"/>
      <c r="G695" s="21"/>
    </row>
    <row r="696" ht="15.75" customHeight="1">
      <c r="C696" s="20"/>
      <c r="D696" s="20"/>
      <c r="E696" s="20"/>
      <c r="F696" s="21"/>
      <c r="G696" s="21"/>
    </row>
    <row r="697" ht="15.75" customHeight="1">
      <c r="C697" s="20"/>
      <c r="D697" s="20"/>
      <c r="E697" s="20"/>
      <c r="F697" s="21"/>
      <c r="G697" s="21"/>
    </row>
    <row r="698" ht="15.75" customHeight="1">
      <c r="C698" s="20"/>
      <c r="D698" s="20"/>
      <c r="E698" s="20"/>
      <c r="F698" s="21"/>
      <c r="G698" s="21"/>
    </row>
    <row r="699" ht="15.75" customHeight="1">
      <c r="C699" s="20"/>
      <c r="D699" s="20"/>
      <c r="E699" s="20"/>
      <c r="F699" s="21"/>
      <c r="G699" s="21"/>
    </row>
    <row r="700" ht="15.75" customHeight="1">
      <c r="C700" s="20"/>
      <c r="D700" s="20"/>
      <c r="E700" s="20"/>
      <c r="F700" s="21"/>
      <c r="G700" s="21"/>
    </row>
    <row r="701" ht="15.75" customHeight="1">
      <c r="C701" s="20"/>
      <c r="D701" s="20"/>
      <c r="E701" s="20"/>
      <c r="F701" s="21"/>
      <c r="G701" s="21"/>
    </row>
    <row r="702" ht="15.75" customHeight="1">
      <c r="C702" s="20"/>
      <c r="D702" s="20"/>
      <c r="E702" s="20"/>
      <c r="F702" s="21"/>
      <c r="G702" s="21"/>
    </row>
    <row r="703" ht="15.75" customHeight="1">
      <c r="C703" s="20"/>
      <c r="D703" s="20"/>
      <c r="E703" s="20"/>
      <c r="F703" s="21"/>
      <c r="G703" s="21"/>
    </row>
    <row r="704" ht="15.75" customHeight="1">
      <c r="C704" s="20"/>
      <c r="D704" s="20"/>
      <c r="E704" s="20"/>
      <c r="F704" s="21"/>
      <c r="G704" s="21"/>
    </row>
    <row r="705" ht="15.75" customHeight="1">
      <c r="C705" s="20"/>
      <c r="D705" s="20"/>
      <c r="E705" s="20"/>
      <c r="F705" s="21"/>
      <c r="G705" s="21"/>
    </row>
    <row r="706" ht="15.75" customHeight="1">
      <c r="C706" s="20"/>
      <c r="D706" s="20"/>
      <c r="E706" s="20"/>
      <c r="F706" s="21"/>
      <c r="G706" s="21"/>
    </row>
    <row r="707" ht="15.75" customHeight="1">
      <c r="C707" s="20"/>
      <c r="D707" s="20"/>
      <c r="E707" s="20"/>
      <c r="F707" s="21"/>
      <c r="G707" s="21"/>
    </row>
    <row r="708" ht="15.75" customHeight="1">
      <c r="C708" s="20"/>
      <c r="D708" s="20"/>
      <c r="E708" s="20"/>
      <c r="F708" s="21"/>
      <c r="G708" s="21"/>
    </row>
    <row r="709" ht="15.75" customHeight="1">
      <c r="C709" s="20"/>
      <c r="D709" s="20"/>
      <c r="E709" s="20"/>
      <c r="F709" s="21"/>
      <c r="G709" s="21"/>
    </row>
    <row r="710" ht="15.75" customHeight="1">
      <c r="C710" s="20"/>
      <c r="D710" s="20"/>
      <c r="E710" s="20"/>
      <c r="F710" s="21"/>
      <c r="G710" s="21"/>
    </row>
    <row r="711" ht="15.75" customHeight="1">
      <c r="C711" s="20"/>
      <c r="D711" s="20"/>
      <c r="E711" s="20"/>
      <c r="F711" s="21"/>
      <c r="G711" s="21"/>
    </row>
    <row r="712" ht="15.75" customHeight="1">
      <c r="C712" s="20"/>
      <c r="D712" s="20"/>
      <c r="E712" s="20"/>
      <c r="F712" s="21"/>
      <c r="G712" s="21"/>
    </row>
    <row r="713" ht="15.75" customHeight="1">
      <c r="C713" s="20"/>
      <c r="D713" s="20"/>
      <c r="E713" s="20"/>
      <c r="F713" s="21"/>
      <c r="G713" s="21"/>
    </row>
    <row r="714" ht="15.75" customHeight="1">
      <c r="C714" s="20"/>
      <c r="D714" s="20"/>
      <c r="E714" s="20"/>
      <c r="F714" s="21"/>
      <c r="G714" s="21"/>
    </row>
    <row r="715" ht="15.75" customHeight="1">
      <c r="C715" s="20"/>
      <c r="D715" s="20"/>
      <c r="E715" s="20"/>
      <c r="F715" s="21"/>
      <c r="G715" s="21"/>
    </row>
    <row r="716" ht="15.75" customHeight="1">
      <c r="C716" s="20"/>
      <c r="D716" s="20"/>
      <c r="E716" s="20"/>
      <c r="F716" s="21"/>
      <c r="G716" s="21"/>
    </row>
    <row r="717" ht="15.75" customHeight="1">
      <c r="C717" s="20"/>
      <c r="D717" s="20"/>
      <c r="E717" s="20"/>
      <c r="F717" s="21"/>
      <c r="G717" s="21"/>
    </row>
    <row r="718" ht="15.75" customHeight="1">
      <c r="C718" s="20"/>
      <c r="D718" s="20"/>
      <c r="E718" s="20"/>
      <c r="F718" s="21"/>
      <c r="G718" s="21"/>
    </row>
    <row r="719" ht="15.75" customHeight="1">
      <c r="C719" s="20"/>
      <c r="D719" s="20"/>
      <c r="E719" s="20"/>
      <c r="F719" s="21"/>
      <c r="G719" s="21"/>
    </row>
    <row r="720" ht="15.75" customHeight="1">
      <c r="C720" s="20"/>
      <c r="D720" s="20"/>
      <c r="E720" s="20"/>
      <c r="F720" s="21"/>
      <c r="G720" s="21"/>
    </row>
    <row r="721" ht="15.75" customHeight="1">
      <c r="C721" s="20"/>
      <c r="D721" s="20"/>
      <c r="E721" s="20"/>
      <c r="F721" s="21"/>
      <c r="G721" s="21"/>
    </row>
    <row r="722" ht="15.75" customHeight="1">
      <c r="C722" s="20"/>
      <c r="D722" s="20"/>
      <c r="E722" s="20"/>
      <c r="F722" s="21"/>
      <c r="G722" s="21"/>
    </row>
    <row r="723" ht="15.75" customHeight="1">
      <c r="C723" s="20"/>
      <c r="D723" s="20"/>
      <c r="E723" s="20"/>
      <c r="F723" s="21"/>
      <c r="G723" s="21"/>
    </row>
    <row r="724" ht="15.75" customHeight="1">
      <c r="C724" s="20"/>
      <c r="D724" s="20"/>
      <c r="E724" s="20"/>
      <c r="F724" s="21"/>
      <c r="G724" s="21"/>
    </row>
    <row r="725" ht="15.75" customHeight="1">
      <c r="C725" s="20"/>
      <c r="D725" s="20"/>
      <c r="E725" s="20"/>
      <c r="F725" s="21"/>
      <c r="G725" s="21"/>
    </row>
    <row r="726" ht="15.75" customHeight="1">
      <c r="C726" s="20"/>
      <c r="D726" s="20"/>
      <c r="E726" s="20"/>
      <c r="F726" s="21"/>
      <c r="G726" s="21"/>
    </row>
    <row r="727" ht="15.75" customHeight="1">
      <c r="C727" s="20"/>
      <c r="D727" s="20"/>
      <c r="E727" s="20"/>
      <c r="F727" s="21"/>
      <c r="G727" s="21"/>
    </row>
    <row r="728" ht="15.75" customHeight="1">
      <c r="C728" s="20"/>
      <c r="D728" s="20"/>
      <c r="E728" s="20"/>
      <c r="F728" s="21"/>
      <c r="G728" s="21"/>
    </row>
    <row r="729" ht="15.75" customHeight="1">
      <c r="C729" s="20"/>
      <c r="D729" s="20"/>
      <c r="E729" s="20"/>
      <c r="F729" s="21"/>
      <c r="G729" s="21"/>
    </row>
    <row r="730" ht="15.75" customHeight="1">
      <c r="C730" s="20"/>
      <c r="D730" s="20"/>
      <c r="E730" s="20"/>
      <c r="F730" s="21"/>
      <c r="G730" s="21"/>
    </row>
    <row r="731" ht="15.75" customHeight="1">
      <c r="C731" s="20"/>
      <c r="D731" s="20"/>
      <c r="E731" s="20"/>
      <c r="F731" s="21"/>
      <c r="G731" s="21"/>
    </row>
    <row r="732" ht="15.75" customHeight="1">
      <c r="C732" s="20"/>
      <c r="D732" s="20"/>
      <c r="E732" s="20"/>
      <c r="F732" s="21"/>
      <c r="G732" s="21"/>
    </row>
    <row r="733" ht="15.75" customHeight="1">
      <c r="C733" s="20"/>
      <c r="D733" s="20"/>
      <c r="E733" s="20"/>
      <c r="F733" s="21"/>
      <c r="G733" s="21"/>
    </row>
    <row r="734" ht="15.75" customHeight="1">
      <c r="C734" s="20"/>
      <c r="D734" s="20"/>
      <c r="E734" s="20"/>
      <c r="F734" s="21"/>
      <c r="G734" s="21"/>
    </row>
    <row r="735" ht="15.75" customHeight="1">
      <c r="C735" s="20"/>
      <c r="D735" s="20"/>
      <c r="E735" s="20"/>
      <c r="F735" s="21"/>
      <c r="G735" s="21"/>
    </row>
    <row r="736" ht="15.75" customHeight="1">
      <c r="C736" s="20"/>
      <c r="D736" s="20"/>
      <c r="E736" s="20"/>
      <c r="F736" s="21"/>
      <c r="G736" s="21"/>
    </row>
    <row r="737" ht="15.75" customHeight="1">
      <c r="C737" s="20"/>
      <c r="D737" s="20"/>
      <c r="E737" s="20"/>
      <c r="F737" s="21"/>
      <c r="G737" s="21"/>
    </row>
    <row r="738" ht="15.75" customHeight="1">
      <c r="C738" s="20"/>
      <c r="D738" s="20"/>
      <c r="E738" s="20"/>
      <c r="F738" s="21"/>
      <c r="G738" s="21"/>
    </row>
    <row r="739" ht="15.75" customHeight="1">
      <c r="C739" s="20"/>
      <c r="D739" s="20"/>
      <c r="E739" s="20"/>
      <c r="F739" s="21"/>
      <c r="G739" s="21"/>
    </row>
    <row r="740" ht="15.75" customHeight="1">
      <c r="C740" s="20"/>
      <c r="D740" s="20"/>
      <c r="E740" s="20"/>
      <c r="F740" s="21"/>
      <c r="G740" s="21"/>
    </row>
    <row r="741" ht="15.75" customHeight="1">
      <c r="C741" s="20"/>
      <c r="D741" s="20"/>
      <c r="E741" s="20"/>
      <c r="F741" s="21"/>
      <c r="G741" s="21"/>
    </row>
    <row r="742" ht="15.75" customHeight="1">
      <c r="C742" s="20"/>
      <c r="D742" s="20"/>
      <c r="E742" s="20"/>
      <c r="F742" s="21"/>
      <c r="G742" s="21"/>
    </row>
    <row r="743" ht="15.75" customHeight="1">
      <c r="C743" s="20"/>
      <c r="D743" s="20"/>
      <c r="E743" s="20"/>
      <c r="F743" s="21"/>
      <c r="G743" s="21"/>
    </row>
    <row r="744" ht="15.75" customHeight="1">
      <c r="C744" s="20"/>
      <c r="D744" s="20"/>
      <c r="E744" s="20"/>
      <c r="F744" s="21"/>
      <c r="G744" s="21"/>
    </row>
    <row r="745" ht="15.75" customHeight="1">
      <c r="C745" s="20"/>
      <c r="D745" s="20"/>
      <c r="E745" s="20"/>
      <c r="F745" s="21"/>
      <c r="G745" s="21"/>
    </row>
    <row r="746" ht="15.75" customHeight="1">
      <c r="C746" s="20"/>
      <c r="D746" s="20"/>
      <c r="E746" s="20"/>
      <c r="F746" s="21"/>
      <c r="G746" s="21"/>
    </row>
    <row r="747" ht="15.75" customHeight="1">
      <c r="C747" s="20"/>
      <c r="D747" s="20"/>
      <c r="E747" s="20"/>
      <c r="F747" s="21"/>
      <c r="G747" s="21"/>
    </row>
    <row r="748" ht="15.75" customHeight="1">
      <c r="C748" s="20"/>
      <c r="D748" s="20"/>
      <c r="E748" s="20"/>
      <c r="F748" s="21"/>
      <c r="G748" s="21"/>
    </row>
    <row r="749" ht="15.75" customHeight="1">
      <c r="C749" s="20"/>
      <c r="D749" s="20"/>
      <c r="E749" s="20"/>
      <c r="F749" s="21"/>
      <c r="G749" s="21"/>
    </row>
    <row r="750" ht="15.75" customHeight="1">
      <c r="C750" s="20"/>
      <c r="D750" s="20"/>
      <c r="E750" s="20"/>
      <c r="F750" s="21"/>
      <c r="G750" s="21"/>
    </row>
    <row r="751" ht="15.75" customHeight="1">
      <c r="C751" s="20"/>
      <c r="D751" s="20"/>
      <c r="E751" s="20"/>
      <c r="F751" s="21"/>
      <c r="G751" s="21"/>
    </row>
    <row r="752" ht="15.75" customHeight="1">
      <c r="C752" s="20"/>
      <c r="D752" s="20"/>
      <c r="E752" s="20"/>
      <c r="F752" s="21"/>
      <c r="G752" s="21"/>
    </row>
    <row r="753" ht="15.75" customHeight="1">
      <c r="C753" s="20"/>
      <c r="D753" s="20"/>
      <c r="E753" s="20"/>
      <c r="F753" s="21"/>
      <c r="G753" s="21"/>
    </row>
    <row r="754" ht="15.75" customHeight="1">
      <c r="C754" s="20"/>
      <c r="D754" s="20"/>
      <c r="E754" s="20"/>
      <c r="F754" s="21"/>
      <c r="G754" s="21"/>
    </row>
    <row r="755" ht="15.75" customHeight="1">
      <c r="C755" s="20"/>
      <c r="D755" s="20"/>
      <c r="E755" s="20"/>
      <c r="F755" s="21"/>
      <c r="G755" s="21"/>
    </row>
    <row r="756" ht="15.75" customHeight="1">
      <c r="C756" s="20"/>
      <c r="D756" s="20"/>
      <c r="E756" s="20"/>
      <c r="F756" s="21"/>
      <c r="G756" s="21"/>
    </row>
    <row r="757" ht="15.75" customHeight="1">
      <c r="C757" s="20"/>
      <c r="D757" s="20"/>
      <c r="E757" s="20"/>
      <c r="F757" s="21"/>
      <c r="G757" s="21"/>
    </row>
    <row r="758" ht="15.75" customHeight="1">
      <c r="C758" s="20"/>
      <c r="D758" s="20"/>
      <c r="E758" s="20"/>
      <c r="F758" s="21"/>
      <c r="G758" s="21"/>
    </row>
    <row r="759" ht="15.75" customHeight="1">
      <c r="C759" s="20"/>
      <c r="D759" s="20"/>
      <c r="E759" s="20"/>
      <c r="F759" s="21"/>
      <c r="G759" s="21"/>
    </row>
    <row r="760" ht="15.75" customHeight="1">
      <c r="C760" s="20"/>
      <c r="D760" s="20"/>
      <c r="E760" s="20"/>
      <c r="F760" s="21"/>
      <c r="G760" s="21"/>
    </row>
    <row r="761" ht="15.75" customHeight="1">
      <c r="C761" s="20"/>
      <c r="D761" s="20"/>
      <c r="E761" s="20"/>
      <c r="F761" s="21"/>
      <c r="G761" s="21"/>
    </row>
    <row r="762" ht="15.75" customHeight="1">
      <c r="C762" s="20"/>
      <c r="D762" s="20"/>
      <c r="E762" s="20"/>
      <c r="F762" s="21"/>
      <c r="G762" s="21"/>
    </row>
    <row r="763" ht="15.75" customHeight="1">
      <c r="C763" s="20"/>
      <c r="D763" s="20"/>
      <c r="E763" s="20"/>
      <c r="F763" s="21"/>
      <c r="G763" s="21"/>
    </row>
    <row r="764" ht="15.75" customHeight="1">
      <c r="C764" s="20"/>
      <c r="D764" s="20"/>
      <c r="E764" s="20"/>
      <c r="F764" s="21"/>
      <c r="G764" s="21"/>
    </row>
    <row r="765" ht="15.75" customHeight="1">
      <c r="C765" s="20"/>
      <c r="D765" s="20"/>
      <c r="E765" s="20"/>
      <c r="F765" s="21"/>
      <c r="G765" s="21"/>
    </row>
    <row r="766" ht="15.75" customHeight="1">
      <c r="C766" s="20"/>
      <c r="D766" s="20"/>
      <c r="E766" s="20"/>
      <c r="F766" s="21"/>
      <c r="G766" s="21"/>
    </row>
    <row r="767" ht="15.75" customHeight="1">
      <c r="C767" s="20"/>
      <c r="D767" s="20"/>
      <c r="E767" s="20"/>
      <c r="F767" s="21"/>
      <c r="G767" s="21"/>
    </row>
    <row r="768" ht="15.75" customHeight="1">
      <c r="C768" s="20"/>
      <c r="D768" s="20"/>
      <c r="E768" s="20"/>
      <c r="F768" s="21"/>
      <c r="G768" s="21"/>
    </row>
    <row r="769" ht="15.75" customHeight="1">
      <c r="C769" s="20"/>
      <c r="D769" s="20"/>
      <c r="E769" s="20"/>
      <c r="F769" s="21"/>
      <c r="G769" s="21"/>
    </row>
    <row r="770" ht="15.75" customHeight="1">
      <c r="C770" s="20"/>
      <c r="D770" s="20"/>
      <c r="E770" s="20"/>
      <c r="F770" s="21"/>
      <c r="G770" s="21"/>
    </row>
    <row r="771" ht="15.75" customHeight="1">
      <c r="C771" s="20"/>
      <c r="D771" s="20"/>
      <c r="E771" s="20"/>
      <c r="F771" s="21"/>
      <c r="G771" s="21"/>
    </row>
    <row r="772" ht="15.75" customHeight="1">
      <c r="C772" s="20"/>
      <c r="D772" s="20"/>
      <c r="E772" s="20"/>
      <c r="F772" s="21"/>
      <c r="G772" s="21"/>
    </row>
    <row r="773" ht="15.75" customHeight="1">
      <c r="C773" s="20"/>
      <c r="D773" s="20"/>
      <c r="E773" s="20"/>
      <c r="F773" s="21"/>
      <c r="G773" s="21"/>
    </row>
    <row r="774" ht="15.75" customHeight="1">
      <c r="C774" s="20"/>
      <c r="D774" s="20"/>
      <c r="E774" s="20"/>
      <c r="F774" s="21"/>
      <c r="G774" s="21"/>
    </row>
    <row r="775" ht="15.75" customHeight="1">
      <c r="C775" s="20"/>
      <c r="D775" s="20"/>
      <c r="E775" s="20"/>
      <c r="F775" s="21"/>
      <c r="G775" s="21"/>
    </row>
    <row r="776" ht="15.75" customHeight="1">
      <c r="C776" s="20"/>
      <c r="D776" s="20"/>
      <c r="E776" s="20"/>
      <c r="F776" s="21"/>
      <c r="G776" s="21"/>
    </row>
    <row r="777" ht="15.75" customHeight="1">
      <c r="C777" s="20"/>
      <c r="D777" s="20"/>
      <c r="E777" s="20"/>
      <c r="F777" s="21"/>
      <c r="G777" s="21"/>
    </row>
    <row r="778" ht="15.75" customHeight="1">
      <c r="C778" s="20"/>
      <c r="D778" s="20"/>
      <c r="E778" s="20"/>
      <c r="F778" s="21"/>
      <c r="G778" s="21"/>
    </row>
    <row r="779" ht="15.75" customHeight="1">
      <c r="C779" s="20"/>
      <c r="D779" s="20"/>
      <c r="E779" s="20"/>
      <c r="F779" s="21"/>
      <c r="G779" s="21"/>
    </row>
    <row r="780" ht="15.75" customHeight="1">
      <c r="C780" s="20"/>
      <c r="D780" s="20"/>
      <c r="E780" s="20"/>
      <c r="F780" s="21"/>
      <c r="G780" s="21"/>
    </row>
    <row r="781" ht="15.75" customHeight="1">
      <c r="C781" s="20"/>
      <c r="D781" s="20"/>
      <c r="E781" s="20"/>
      <c r="F781" s="21"/>
      <c r="G781" s="21"/>
    </row>
    <row r="782" ht="15.75" customHeight="1">
      <c r="C782" s="20"/>
      <c r="D782" s="20"/>
      <c r="E782" s="20"/>
      <c r="F782" s="21"/>
      <c r="G782" s="21"/>
    </row>
    <row r="783" ht="15.75" customHeight="1">
      <c r="C783" s="20"/>
      <c r="D783" s="20"/>
      <c r="E783" s="20"/>
      <c r="F783" s="21"/>
      <c r="G783" s="21"/>
    </row>
    <row r="784" ht="15.75" customHeight="1">
      <c r="C784" s="20"/>
      <c r="D784" s="20"/>
      <c r="E784" s="20"/>
      <c r="F784" s="21"/>
      <c r="G784" s="21"/>
    </row>
    <row r="785" ht="15.75" customHeight="1">
      <c r="C785" s="20"/>
      <c r="D785" s="20"/>
      <c r="E785" s="20"/>
      <c r="F785" s="21"/>
      <c r="G785" s="21"/>
    </row>
    <row r="786" ht="15.75" customHeight="1">
      <c r="C786" s="20"/>
      <c r="D786" s="20"/>
      <c r="E786" s="20"/>
      <c r="F786" s="21"/>
      <c r="G786" s="21"/>
    </row>
    <row r="787" ht="15.75" customHeight="1">
      <c r="C787" s="20"/>
      <c r="D787" s="20"/>
      <c r="E787" s="20"/>
      <c r="F787" s="21"/>
      <c r="G787" s="21"/>
    </row>
    <row r="788" ht="15.75" customHeight="1">
      <c r="C788" s="20"/>
      <c r="D788" s="20"/>
      <c r="E788" s="20"/>
      <c r="F788" s="21"/>
      <c r="G788" s="21"/>
    </row>
    <row r="789" ht="15.75" customHeight="1">
      <c r="C789" s="20"/>
      <c r="D789" s="20"/>
      <c r="E789" s="20"/>
      <c r="F789" s="21"/>
      <c r="G789" s="21"/>
    </row>
    <row r="790" ht="15.75" customHeight="1">
      <c r="C790" s="20"/>
      <c r="D790" s="20"/>
      <c r="E790" s="20"/>
      <c r="F790" s="21"/>
      <c r="G790" s="21"/>
    </row>
    <row r="791" ht="15.75" customHeight="1">
      <c r="C791" s="20"/>
      <c r="D791" s="20"/>
      <c r="E791" s="20"/>
      <c r="F791" s="21"/>
      <c r="G791" s="21"/>
    </row>
    <row r="792" ht="15.75" customHeight="1">
      <c r="C792" s="20"/>
      <c r="D792" s="20"/>
      <c r="E792" s="20"/>
      <c r="F792" s="21"/>
      <c r="G792" s="21"/>
    </row>
    <row r="793" ht="15.75" customHeight="1">
      <c r="C793" s="20"/>
      <c r="D793" s="20"/>
      <c r="E793" s="20"/>
      <c r="F793" s="21"/>
      <c r="G793" s="21"/>
    </row>
    <row r="794" ht="15.75" customHeight="1">
      <c r="C794" s="20"/>
      <c r="D794" s="20"/>
      <c r="E794" s="20"/>
      <c r="F794" s="21"/>
      <c r="G794" s="21"/>
    </row>
    <row r="795" ht="15.75" customHeight="1">
      <c r="C795" s="20"/>
      <c r="D795" s="20"/>
      <c r="E795" s="20"/>
      <c r="F795" s="21"/>
      <c r="G795" s="21"/>
    </row>
    <row r="796" ht="15.75" customHeight="1">
      <c r="C796" s="20"/>
      <c r="D796" s="20"/>
      <c r="E796" s="20"/>
      <c r="F796" s="21"/>
      <c r="G796" s="21"/>
    </row>
    <row r="797" ht="15.75" customHeight="1">
      <c r="C797" s="20"/>
      <c r="D797" s="20"/>
      <c r="E797" s="20"/>
      <c r="F797" s="21"/>
      <c r="G797" s="21"/>
    </row>
    <row r="798" ht="15.75" customHeight="1">
      <c r="C798" s="20"/>
      <c r="D798" s="20"/>
      <c r="E798" s="20"/>
      <c r="F798" s="21"/>
      <c r="G798" s="21"/>
    </row>
    <row r="799" ht="15.75" customHeight="1">
      <c r="C799" s="20"/>
      <c r="D799" s="20"/>
      <c r="E799" s="20"/>
      <c r="F799" s="21"/>
      <c r="G799" s="21"/>
    </row>
    <row r="800" ht="15.75" customHeight="1">
      <c r="C800" s="20"/>
      <c r="D800" s="20"/>
      <c r="E800" s="20"/>
      <c r="F800" s="21"/>
      <c r="G800" s="21"/>
    </row>
    <row r="801" ht="15.75" customHeight="1">
      <c r="C801" s="20"/>
      <c r="D801" s="20"/>
      <c r="E801" s="20"/>
      <c r="F801" s="21"/>
      <c r="G801" s="21"/>
    </row>
    <row r="802" ht="15.75" customHeight="1">
      <c r="C802" s="20"/>
      <c r="D802" s="20"/>
      <c r="E802" s="20"/>
      <c r="F802" s="21"/>
      <c r="G802" s="21"/>
    </row>
    <row r="803" ht="15.75" customHeight="1">
      <c r="C803" s="20"/>
      <c r="D803" s="20"/>
      <c r="E803" s="20"/>
      <c r="F803" s="21"/>
      <c r="G803" s="21"/>
    </row>
    <row r="804" ht="15.75" customHeight="1">
      <c r="C804" s="20"/>
      <c r="D804" s="20"/>
      <c r="E804" s="20"/>
      <c r="F804" s="21"/>
      <c r="G804" s="21"/>
    </row>
    <row r="805" ht="15.75" customHeight="1">
      <c r="C805" s="20"/>
      <c r="D805" s="20"/>
      <c r="E805" s="20"/>
      <c r="F805" s="21"/>
      <c r="G805" s="21"/>
    </row>
    <row r="806" ht="15.75" customHeight="1">
      <c r="C806" s="20"/>
      <c r="D806" s="20"/>
      <c r="E806" s="20"/>
      <c r="F806" s="21"/>
      <c r="G806" s="21"/>
    </row>
    <row r="807" ht="15.75" customHeight="1">
      <c r="C807" s="20"/>
      <c r="D807" s="20"/>
      <c r="E807" s="20"/>
      <c r="F807" s="21"/>
      <c r="G807" s="21"/>
    </row>
    <row r="808" ht="15.75" customHeight="1">
      <c r="C808" s="20"/>
      <c r="D808" s="20"/>
      <c r="E808" s="20"/>
      <c r="F808" s="21"/>
      <c r="G808" s="21"/>
    </row>
    <row r="809" ht="15.75" customHeight="1">
      <c r="C809" s="20"/>
      <c r="D809" s="20"/>
      <c r="E809" s="20"/>
      <c r="F809" s="21"/>
      <c r="G809" s="21"/>
    </row>
    <row r="810" ht="15.75" customHeight="1">
      <c r="C810" s="20"/>
      <c r="D810" s="20"/>
      <c r="E810" s="20"/>
      <c r="F810" s="21"/>
      <c r="G810" s="21"/>
    </row>
    <row r="811" ht="15.75" customHeight="1">
      <c r="C811" s="20"/>
      <c r="D811" s="20"/>
      <c r="E811" s="20"/>
      <c r="F811" s="21"/>
      <c r="G811" s="21"/>
    </row>
    <row r="812" ht="15.75" customHeight="1">
      <c r="C812" s="20"/>
      <c r="D812" s="20"/>
      <c r="E812" s="20"/>
      <c r="F812" s="21"/>
      <c r="G812" s="21"/>
    </row>
    <row r="813" ht="15.75" customHeight="1">
      <c r="C813" s="20"/>
      <c r="D813" s="20"/>
      <c r="E813" s="20"/>
      <c r="F813" s="21"/>
      <c r="G813" s="21"/>
    </row>
    <row r="814" ht="15.75" customHeight="1">
      <c r="C814" s="20"/>
      <c r="D814" s="20"/>
      <c r="E814" s="20"/>
      <c r="F814" s="21"/>
      <c r="G814" s="21"/>
    </row>
    <row r="815" ht="15.75" customHeight="1">
      <c r="C815" s="20"/>
      <c r="D815" s="20"/>
      <c r="E815" s="20"/>
      <c r="F815" s="21"/>
      <c r="G815" s="21"/>
    </row>
    <row r="816" ht="15.75" customHeight="1">
      <c r="C816" s="20"/>
      <c r="D816" s="20"/>
      <c r="E816" s="20"/>
      <c r="F816" s="21"/>
      <c r="G816" s="21"/>
    </row>
    <row r="817" ht="15.75" customHeight="1">
      <c r="C817" s="20"/>
      <c r="D817" s="20"/>
      <c r="E817" s="20"/>
      <c r="F817" s="21"/>
      <c r="G817" s="21"/>
    </row>
    <row r="818" ht="15.75" customHeight="1">
      <c r="C818" s="20"/>
      <c r="D818" s="20"/>
      <c r="E818" s="20"/>
      <c r="F818" s="21"/>
      <c r="G818" s="21"/>
    </row>
    <row r="819" ht="15.75" customHeight="1">
      <c r="C819" s="20"/>
      <c r="D819" s="20"/>
      <c r="E819" s="20"/>
      <c r="F819" s="21"/>
      <c r="G819" s="21"/>
    </row>
    <row r="820" ht="15.75" customHeight="1">
      <c r="C820" s="20"/>
      <c r="D820" s="20"/>
      <c r="E820" s="20"/>
      <c r="F820" s="21"/>
      <c r="G820" s="21"/>
    </row>
    <row r="821" ht="15.75" customHeight="1">
      <c r="C821" s="20"/>
      <c r="D821" s="20"/>
      <c r="E821" s="20"/>
      <c r="F821" s="21"/>
      <c r="G821" s="21"/>
    </row>
    <row r="822" ht="15.75" customHeight="1">
      <c r="C822" s="20"/>
      <c r="D822" s="20"/>
      <c r="E822" s="20"/>
      <c r="F822" s="21"/>
      <c r="G822" s="21"/>
    </row>
    <row r="823" ht="15.75" customHeight="1">
      <c r="C823" s="20"/>
      <c r="D823" s="20"/>
      <c r="E823" s="20"/>
      <c r="F823" s="21"/>
      <c r="G823" s="21"/>
    </row>
    <row r="824" ht="15.75" customHeight="1">
      <c r="C824" s="20"/>
      <c r="D824" s="20"/>
      <c r="E824" s="20"/>
      <c r="F824" s="21"/>
      <c r="G824" s="21"/>
    </row>
    <row r="825" ht="15.75" customHeight="1">
      <c r="C825" s="20"/>
      <c r="D825" s="20"/>
      <c r="E825" s="20"/>
      <c r="F825" s="21"/>
      <c r="G825" s="21"/>
    </row>
    <row r="826" ht="15.75" customHeight="1">
      <c r="C826" s="20"/>
      <c r="D826" s="20"/>
      <c r="E826" s="20"/>
      <c r="F826" s="21"/>
      <c r="G826" s="21"/>
    </row>
    <row r="827" ht="15.75" customHeight="1">
      <c r="C827" s="20"/>
      <c r="D827" s="20"/>
      <c r="E827" s="20"/>
      <c r="F827" s="21"/>
      <c r="G827" s="21"/>
    </row>
    <row r="828" ht="15.75" customHeight="1">
      <c r="C828" s="20"/>
      <c r="D828" s="20"/>
      <c r="E828" s="20"/>
      <c r="F828" s="21"/>
      <c r="G828" s="21"/>
    </row>
    <row r="829" ht="15.75" customHeight="1">
      <c r="C829" s="20"/>
      <c r="D829" s="20"/>
      <c r="E829" s="20"/>
      <c r="F829" s="21"/>
      <c r="G829" s="21"/>
    </row>
    <row r="830" ht="15.75" customHeight="1">
      <c r="C830" s="20"/>
      <c r="D830" s="20"/>
      <c r="E830" s="20"/>
      <c r="F830" s="21"/>
      <c r="G830" s="21"/>
    </row>
    <row r="831" ht="15.75" customHeight="1">
      <c r="C831" s="20"/>
      <c r="D831" s="20"/>
      <c r="E831" s="20"/>
      <c r="F831" s="21"/>
      <c r="G831" s="21"/>
    </row>
    <row r="832" ht="15.75" customHeight="1">
      <c r="C832" s="20"/>
      <c r="D832" s="20"/>
      <c r="E832" s="20"/>
      <c r="F832" s="21"/>
      <c r="G832" s="21"/>
    </row>
    <row r="833" ht="15.75" customHeight="1">
      <c r="C833" s="20"/>
      <c r="D833" s="20"/>
      <c r="E833" s="20"/>
      <c r="F833" s="21"/>
      <c r="G833" s="21"/>
    </row>
    <row r="834" ht="15.75" customHeight="1">
      <c r="C834" s="20"/>
      <c r="D834" s="20"/>
      <c r="E834" s="20"/>
      <c r="F834" s="21"/>
      <c r="G834" s="21"/>
    </row>
    <row r="835" ht="15.75" customHeight="1">
      <c r="C835" s="20"/>
      <c r="D835" s="20"/>
      <c r="E835" s="20"/>
      <c r="F835" s="21"/>
      <c r="G835" s="21"/>
    </row>
    <row r="836" ht="15.75" customHeight="1">
      <c r="C836" s="20"/>
      <c r="D836" s="20"/>
      <c r="E836" s="20"/>
      <c r="F836" s="21"/>
      <c r="G836" s="21"/>
    </row>
    <row r="837" ht="15.75" customHeight="1">
      <c r="C837" s="20"/>
      <c r="D837" s="20"/>
      <c r="E837" s="20"/>
      <c r="F837" s="21"/>
      <c r="G837" s="21"/>
    </row>
    <row r="838" ht="15.75" customHeight="1">
      <c r="C838" s="20"/>
      <c r="D838" s="20"/>
      <c r="E838" s="20"/>
      <c r="F838" s="21"/>
      <c r="G838" s="21"/>
    </row>
    <row r="839" ht="15.75" customHeight="1">
      <c r="C839" s="20"/>
      <c r="D839" s="20"/>
      <c r="E839" s="20"/>
      <c r="F839" s="21"/>
      <c r="G839" s="21"/>
    </row>
    <row r="840" ht="15.75" customHeight="1">
      <c r="C840" s="20"/>
      <c r="D840" s="20"/>
      <c r="E840" s="20"/>
      <c r="F840" s="21"/>
      <c r="G840" s="21"/>
    </row>
    <row r="841" ht="15.75" customHeight="1">
      <c r="C841" s="20"/>
      <c r="D841" s="20"/>
      <c r="E841" s="20"/>
      <c r="F841" s="21"/>
      <c r="G841" s="21"/>
    </row>
    <row r="842" ht="15.75" customHeight="1">
      <c r="C842" s="20"/>
      <c r="D842" s="20"/>
      <c r="E842" s="20"/>
      <c r="F842" s="21"/>
      <c r="G842" s="21"/>
    </row>
    <row r="843" ht="15.75" customHeight="1">
      <c r="C843" s="20"/>
      <c r="D843" s="20"/>
      <c r="E843" s="20"/>
      <c r="F843" s="21"/>
      <c r="G843" s="21"/>
    </row>
    <row r="844" ht="15.75" customHeight="1">
      <c r="C844" s="20"/>
      <c r="D844" s="20"/>
      <c r="E844" s="20"/>
      <c r="F844" s="21"/>
      <c r="G844" s="21"/>
    </row>
    <row r="845" ht="15.75" customHeight="1">
      <c r="C845" s="20"/>
      <c r="D845" s="20"/>
      <c r="E845" s="20"/>
      <c r="F845" s="21"/>
      <c r="G845" s="21"/>
    </row>
    <row r="846" ht="15.75" customHeight="1">
      <c r="C846" s="20"/>
      <c r="D846" s="20"/>
      <c r="E846" s="20"/>
      <c r="F846" s="21"/>
      <c r="G846" s="21"/>
    </row>
    <row r="847" ht="15.75" customHeight="1">
      <c r="C847" s="20"/>
      <c r="D847" s="20"/>
      <c r="E847" s="20"/>
      <c r="F847" s="21"/>
      <c r="G847" s="21"/>
    </row>
    <row r="848" ht="15.75" customHeight="1">
      <c r="C848" s="20"/>
      <c r="D848" s="20"/>
      <c r="E848" s="20"/>
      <c r="F848" s="21"/>
      <c r="G848" s="21"/>
    </row>
    <row r="849" ht="15.75" customHeight="1">
      <c r="C849" s="20"/>
      <c r="D849" s="20"/>
      <c r="E849" s="20"/>
      <c r="F849" s="21"/>
      <c r="G849" s="21"/>
    </row>
    <row r="850" ht="15.75" customHeight="1">
      <c r="C850" s="20"/>
      <c r="D850" s="20"/>
      <c r="E850" s="20"/>
      <c r="F850" s="21"/>
      <c r="G850" s="21"/>
    </row>
    <row r="851" ht="15.75" customHeight="1">
      <c r="C851" s="20"/>
      <c r="D851" s="20"/>
      <c r="E851" s="20"/>
      <c r="F851" s="21"/>
      <c r="G851" s="21"/>
    </row>
    <row r="852" ht="15.75" customHeight="1">
      <c r="C852" s="20"/>
      <c r="D852" s="20"/>
      <c r="E852" s="20"/>
      <c r="F852" s="21"/>
      <c r="G852" s="21"/>
    </row>
    <row r="853" ht="15.75" customHeight="1">
      <c r="C853" s="20"/>
      <c r="D853" s="20"/>
      <c r="E853" s="20"/>
      <c r="F853" s="21"/>
      <c r="G853" s="21"/>
    </row>
    <row r="854" ht="15.75" customHeight="1">
      <c r="C854" s="20"/>
      <c r="D854" s="20"/>
      <c r="E854" s="20"/>
      <c r="F854" s="21"/>
      <c r="G854" s="21"/>
    </row>
    <row r="855" ht="15.75" customHeight="1">
      <c r="C855" s="20"/>
      <c r="D855" s="20"/>
      <c r="E855" s="20"/>
      <c r="F855" s="21"/>
      <c r="G855" s="21"/>
    </row>
    <row r="856" ht="15.75" customHeight="1">
      <c r="C856" s="20"/>
      <c r="D856" s="20"/>
      <c r="E856" s="20"/>
      <c r="F856" s="21"/>
      <c r="G856" s="21"/>
    </row>
    <row r="857" ht="15.75" customHeight="1">
      <c r="C857" s="20"/>
      <c r="D857" s="20"/>
      <c r="E857" s="20"/>
      <c r="F857" s="21"/>
      <c r="G857" s="21"/>
    </row>
    <row r="858" ht="15.75" customHeight="1">
      <c r="C858" s="20"/>
      <c r="D858" s="20"/>
      <c r="E858" s="20"/>
      <c r="F858" s="21"/>
      <c r="G858" s="21"/>
    </row>
    <row r="859" ht="15.75" customHeight="1">
      <c r="C859" s="20"/>
      <c r="D859" s="20"/>
      <c r="E859" s="20"/>
      <c r="F859" s="21"/>
      <c r="G859" s="21"/>
    </row>
    <row r="860" ht="15.75" customHeight="1">
      <c r="C860" s="20"/>
      <c r="D860" s="20"/>
      <c r="E860" s="20"/>
      <c r="F860" s="21"/>
      <c r="G860" s="21"/>
    </row>
    <row r="861" ht="15.75" customHeight="1">
      <c r="C861" s="20"/>
      <c r="D861" s="20"/>
      <c r="E861" s="20"/>
      <c r="F861" s="21"/>
      <c r="G861" s="21"/>
    </row>
    <row r="862" ht="15.75" customHeight="1">
      <c r="C862" s="20"/>
      <c r="D862" s="20"/>
      <c r="E862" s="20"/>
      <c r="F862" s="21"/>
      <c r="G862" s="21"/>
    </row>
    <row r="863" ht="15.75" customHeight="1">
      <c r="C863" s="20"/>
      <c r="D863" s="20"/>
      <c r="E863" s="20"/>
      <c r="F863" s="21"/>
      <c r="G863" s="21"/>
    </row>
    <row r="864" ht="15.75" customHeight="1">
      <c r="C864" s="20"/>
      <c r="D864" s="20"/>
      <c r="E864" s="20"/>
      <c r="F864" s="21"/>
      <c r="G864" s="21"/>
    </row>
    <row r="865" ht="15.75" customHeight="1">
      <c r="C865" s="20"/>
      <c r="D865" s="20"/>
      <c r="E865" s="20"/>
      <c r="F865" s="21"/>
      <c r="G865" s="21"/>
    </row>
    <row r="866" ht="15.75" customHeight="1">
      <c r="C866" s="20"/>
      <c r="D866" s="20"/>
      <c r="E866" s="20"/>
      <c r="F866" s="21"/>
      <c r="G866" s="21"/>
    </row>
    <row r="867" ht="15.75" customHeight="1">
      <c r="C867" s="20"/>
      <c r="D867" s="20"/>
      <c r="E867" s="20"/>
      <c r="F867" s="21"/>
      <c r="G867" s="21"/>
    </row>
    <row r="868" ht="15.75" customHeight="1">
      <c r="C868" s="20"/>
      <c r="D868" s="20"/>
      <c r="E868" s="20"/>
      <c r="F868" s="21"/>
      <c r="G868" s="21"/>
    </row>
    <row r="869" ht="15.75" customHeight="1">
      <c r="C869" s="20"/>
      <c r="D869" s="20"/>
      <c r="E869" s="20"/>
      <c r="F869" s="21"/>
      <c r="G869" s="21"/>
    </row>
    <row r="870" ht="15.75" customHeight="1">
      <c r="C870" s="20"/>
      <c r="D870" s="20"/>
      <c r="E870" s="20"/>
      <c r="F870" s="21"/>
      <c r="G870" s="21"/>
    </row>
    <row r="871" ht="15.75" customHeight="1">
      <c r="C871" s="20"/>
      <c r="D871" s="20"/>
      <c r="E871" s="20"/>
      <c r="F871" s="21"/>
      <c r="G871" s="21"/>
    </row>
    <row r="872" ht="15.75" customHeight="1">
      <c r="C872" s="20"/>
      <c r="D872" s="20"/>
      <c r="E872" s="20"/>
      <c r="F872" s="21"/>
      <c r="G872" s="21"/>
    </row>
    <row r="873" ht="15.75" customHeight="1">
      <c r="C873" s="20"/>
      <c r="D873" s="20"/>
      <c r="E873" s="20"/>
      <c r="F873" s="21"/>
      <c r="G873" s="21"/>
    </row>
    <row r="874" ht="15.75" customHeight="1">
      <c r="C874" s="20"/>
      <c r="D874" s="20"/>
      <c r="E874" s="20"/>
      <c r="F874" s="21"/>
      <c r="G874" s="21"/>
    </row>
    <row r="875" ht="15.75" customHeight="1">
      <c r="C875" s="20"/>
      <c r="D875" s="20"/>
      <c r="E875" s="20"/>
      <c r="F875" s="21"/>
      <c r="G875" s="21"/>
    </row>
    <row r="876" ht="15.75" customHeight="1">
      <c r="C876" s="20"/>
      <c r="D876" s="20"/>
      <c r="E876" s="20"/>
      <c r="F876" s="21"/>
      <c r="G876" s="21"/>
    </row>
    <row r="877" ht="15.75" customHeight="1">
      <c r="C877" s="20"/>
      <c r="D877" s="20"/>
      <c r="E877" s="20"/>
      <c r="F877" s="21"/>
      <c r="G877" s="21"/>
    </row>
    <row r="878" ht="15.75" customHeight="1">
      <c r="C878" s="20"/>
      <c r="D878" s="20"/>
      <c r="E878" s="20"/>
      <c r="F878" s="21"/>
      <c r="G878" s="21"/>
    </row>
    <row r="879" ht="15.75" customHeight="1">
      <c r="C879" s="20"/>
      <c r="D879" s="20"/>
      <c r="E879" s="20"/>
      <c r="F879" s="21"/>
      <c r="G879" s="21"/>
    </row>
    <row r="880" ht="15.75" customHeight="1">
      <c r="C880" s="20"/>
      <c r="D880" s="20"/>
      <c r="E880" s="20"/>
      <c r="F880" s="21"/>
      <c r="G880" s="21"/>
    </row>
    <row r="881" ht="15.75" customHeight="1">
      <c r="C881" s="20"/>
      <c r="D881" s="20"/>
      <c r="E881" s="20"/>
      <c r="F881" s="21"/>
      <c r="G881" s="21"/>
    </row>
    <row r="882" ht="15.75" customHeight="1">
      <c r="C882" s="20"/>
      <c r="D882" s="20"/>
      <c r="E882" s="20"/>
      <c r="F882" s="21"/>
      <c r="G882" s="21"/>
    </row>
    <row r="883" ht="15.75" customHeight="1">
      <c r="C883" s="20"/>
      <c r="D883" s="20"/>
      <c r="E883" s="20"/>
      <c r="F883" s="21"/>
      <c r="G883" s="21"/>
    </row>
    <row r="884" ht="15.75" customHeight="1">
      <c r="C884" s="20"/>
      <c r="D884" s="20"/>
      <c r="E884" s="20"/>
      <c r="F884" s="21"/>
      <c r="G884" s="21"/>
    </row>
    <row r="885" ht="15.75" customHeight="1">
      <c r="C885" s="20"/>
      <c r="D885" s="20"/>
      <c r="E885" s="20"/>
      <c r="F885" s="21"/>
      <c r="G885" s="21"/>
    </row>
    <row r="886" ht="15.75" customHeight="1">
      <c r="C886" s="20"/>
      <c r="D886" s="20"/>
      <c r="E886" s="20"/>
      <c r="F886" s="21"/>
      <c r="G886" s="21"/>
    </row>
    <row r="887" ht="15.75" customHeight="1">
      <c r="C887" s="20"/>
      <c r="D887" s="20"/>
      <c r="E887" s="20"/>
      <c r="F887" s="21"/>
      <c r="G887" s="21"/>
    </row>
    <row r="888" ht="15.75" customHeight="1">
      <c r="C888" s="20"/>
      <c r="D888" s="20"/>
      <c r="E888" s="20"/>
      <c r="F888" s="21"/>
      <c r="G888" s="21"/>
    </row>
    <row r="889" ht="15.75" customHeight="1">
      <c r="C889" s="20"/>
      <c r="D889" s="20"/>
      <c r="E889" s="20"/>
      <c r="F889" s="21"/>
      <c r="G889" s="21"/>
    </row>
    <row r="890" ht="15.75" customHeight="1">
      <c r="C890" s="20"/>
      <c r="D890" s="20"/>
      <c r="E890" s="20"/>
      <c r="F890" s="21"/>
      <c r="G890" s="21"/>
    </row>
    <row r="891" ht="15.75" customHeight="1">
      <c r="C891" s="20"/>
      <c r="D891" s="20"/>
      <c r="E891" s="20"/>
      <c r="F891" s="21"/>
      <c r="G891" s="21"/>
    </row>
    <row r="892" ht="15.75" customHeight="1">
      <c r="C892" s="20"/>
      <c r="D892" s="20"/>
      <c r="E892" s="20"/>
      <c r="F892" s="21"/>
      <c r="G892" s="21"/>
    </row>
    <row r="893" ht="15.75" customHeight="1">
      <c r="C893" s="20"/>
      <c r="D893" s="20"/>
      <c r="E893" s="20"/>
      <c r="F893" s="21"/>
      <c r="G893" s="21"/>
    </row>
    <row r="894" ht="15.75" customHeight="1">
      <c r="C894" s="20"/>
      <c r="D894" s="20"/>
      <c r="E894" s="20"/>
      <c r="F894" s="21"/>
      <c r="G894" s="21"/>
    </row>
    <row r="895" ht="15.75" customHeight="1">
      <c r="C895" s="20"/>
      <c r="D895" s="20"/>
      <c r="E895" s="20"/>
      <c r="F895" s="21"/>
      <c r="G895" s="21"/>
    </row>
    <row r="896" ht="15.75" customHeight="1">
      <c r="C896" s="20"/>
      <c r="D896" s="20"/>
      <c r="E896" s="20"/>
      <c r="F896" s="21"/>
      <c r="G896" s="21"/>
    </row>
    <row r="897" ht="15.75" customHeight="1">
      <c r="C897" s="20"/>
      <c r="D897" s="20"/>
      <c r="E897" s="20"/>
      <c r="F897" s="21"/>
      <c r="G897" s="21"/>
    </row>
    <row r="898" ht="15.75" customHeight="1">
      <c r="C898" s="20"/>
      <c r="D898" s="20"/>
      <c r="E898" s="20"/>
      <c r="F898" s="21"/>
      <c r="G898" s="21"/>
    </row>
    <row r="899" ht="15.75" customHeight="1">
      <c r="C899" s="20"/>
      <c r="D899" s="20"/>
      <c r="E899" s="20"/>
      <c r="F899" s="21"/>
      <c r="G899" s="21"/>
    </row>
    <row r="900" ht="15.75" customHeight="1">
      <c r="C900" s="20"/>
      <c r="D900" s="20"/>
      <c r="E900" s="20"/>
      <c r="F900" s="21"/>
      <c r="G900" s="21"/>
    </row>
    <row r="901" ht="15.75" customHeight="1">
      <c r="C901" s="20"/>
      <c r="D901" s="20"/>
      <c r="E901" s="20"/>
      <c r="F901" s="21"/>
      <c r="G901" s="21"/>
    </row>
    <row r="902" ht="15.75" customHeight="1">
      <c r="C902" s="20"/>
      <c r="D902" s="20"/>
      <c r="E902" s="20"/>
      <c r="F902" s="21"/>
      <c r="G902" s="21"/>
    </row>
    <row r="903" ht="15.75" customHeight="1">
      <c r="C903" s="20"/>
      <c r="D903" s="20"/>
      <c r="E903" s="20"/>
      <c r="F903" s="21"/>
      <c r="G903" s="21"/>
    </row>
    <row r="904" ht="15.75" customHeight="1">
      <c r="C904" s="20"/>
      <c r="D904" s="20"/>
      <c r="E904" s="20"/>
      <c r="F904" s="21"/>
      <c r="G904" s="21"/>
    </row>
    <row r="905" ht="15.75" customHeight="1">
      <c r="C905" s="20"/>
      <c r="D905" s="20"/>
      <c r="E905" s="20"/>
      <c r="F905" s="21"/>
      <c r="G905" s="21"/>
    </row>
    <row r="906" ht="15.75" customHeight="1">
      <c r="C906" s="20"/>
      <c r="D906" s="20"/>
      <c r="E906" s="20"/>
      <c r="F906" s="21"/>
      <c r="G906" s="21"/>
    </row>
    <row r="907" ht="15.75" customHeight="1">
      <c r="C907" s="20"/>
      <c r="D907" s="20"/>
      <c r="E907" s="20"/>
      <c r="F907" s="21"/>
      <c r="G907" s="21"/>
    </row>
    <row r="908" ht="15.75" customHeight="1">
      <c r="C908" s="20"/>
      <c r="D908" s="20"/>
      <c r="E908" s="20"/>
      <c r="F908" s="21"/>
      <c r="G908" s="21"/>
    </row>
    <row r="909" ht="15.75" customHeight="1">
      <c r="C909" s="20"/>
      <c r="D909" s="20"/>
      <c r="E909" s="20"/>
      <c r="F909" s="21"/>
      <c r="G909" s="21"/>
    </row>
    <row r="910" ht="15.75" customHeight="1">
      <c r="C910" s="20"/>
      <c r="D910" s="20"/>
      <c r="E910" s="20"/>
      <c r="F910" s="21"/>
      <c r="G910" s="21"/>
    </row>
    <row r="911" ht="15.75" customHeight="1">
      <c r="C911" s="20"/>
      <c r="D911" s="20"/>
      <c r="E911" s="20"/>
      <c r="F911" s="21"/>
      <c r="G911" s="21"/>
    </row>
    <row r="912" ht="15.75" customHeight="1">
      <c r="C912" s="20"/>
      <c r="D912" s="20"/>
      <c r="E912" s="20"/>
      <c r="F912" s="21"/>
      <c r="G912" s="21"/>
    </row>
    <row r="913" ht="15.75" customHeight="1">
      <c r="C913" s="20"/>
      <c r="D913" s="20"/>
      <c r="E913" s="20"/>
      <c r="F913" s="21"/>
      <c r="G913" s="21"/>
    </row>
    <row r="914" ht="15.75" customHeight="1">
      <c r="C914" s="20"/>
      <c r="D914" s="20"/>
      <c r="E914" s="20"/>
      <c r="F914" s="21"/>
      <c r="G914" s="21"/>
    </row>
    <row r="915" ht="15.75" customHeight="1">
      <c r="C915" s="20"/>
      <c r="D915" s="20"/>
      <c r="E915" s="20"/>
      <c r="F915" s="21"/>
      <c r="G915" s="21"/>
    </row>
    <row r="916" ht="15.75" customHeight="1">
      <c r="C916" s="20"/>
      <c r="D916" s="20"/>
      <c r="E916" s="20"/>
      <c r="F916" s="21"/>
      <c r="G916" s="21"/>
    </row>
    <row r="917" ht="15.75" customHeight="1">
      <c r="C917" s="20"/>
      <c r="D917" s="20"/>
      <c r="E917" s="20"/>
      <c r="F917" s="21"/>
      <c r="G917" s="21"/>
    </row>
    <row r="918" ht="15.75" customHeight="1">
      <c r="C918" s="20"/>
      <c r="D918" s="20"/>
      <c r="E918" s="20"/>
      <c r="F918" s="21"/>
      <c r="G918" s="21"/>
    </row>
    <row r="919" ht="15.75" customHeight="1">
      <c r="C919" s="20"/>
      <c r="D919" s="20"/>
      <c r="E919" s="20"/>
      <c r="F919" s="21"/>
      <c r="G919" s="21"/>
    </row>
    <row r="920" ht="15.75" customHeight="1">
      <c r="C920" s="20"/>
      <c r="D920" s="20"/>
      <c r="E920" s="20"/>
      <c r="F920" s="21"/>
      <c r="G920" s="21"/>
    </row>
    <row r="921" ht="15.75" customHeight="1">
      <c r="C921" s="20"/>
      <c r="D921" s="20"/>
      <c r="E921" s="20"/>
      <c r="F921" s="21"/>
      <c r="G921" s="21"/>
    </row>
    <row r="922" ht="15.75" customHeight="1">
      <c r="C922" s="20"/>
      <c r="D922" s="20"/>
      <c r="E922" s="20"/>
      <c r="F922" s="21"/>
      <c r="G922" s="21"/>
    </row>
    <row r="923" ht="15.75" customHeight="1">
      <c r="C923" s="20"/>
      <c r="D923" s="20"/>
      <c r="E923" s="20"/>
      <c r="F923" s="21"/>
      <c r="G923" s="21"/>
    </row>
    <row r="924" ht="15.75" customHeight="1">
      <c r="C924" s="20"/>
      <c r="D924" s="20"/>
      <c r="E924" s="20"/>
      <c r="F924" s="21"/>
      <c r="G924" s="21"/>
    </row>
    <row r="925" ht="15.75" customHeight="1">
      <c r="C925" s="20"/>
      <c r="D925" s="20"/>
      <c r="E925" s="20"/>
      <c r="F925" s="21"/>
      <c r="G925" s="21"/>
    </row>
    <row r="926" ht="15.75" customHeight="1">
      <c r="C926" s="20"/>
      <c r="D926" s="20"/>
      <c r="E926" s="20"/>
      <c r="F926" s="21"/>
      <c r="G926" s="21"/>
    </row>
    <row r="927" ht="15.75" customHeight="1">
      <c r="C927" s="20"/>
      <c r="D927" s="20"/>
      <c r="E927" s="20"/>
      <c r="F927" s="21"/>
      <c r="G927" s="21"/>
    </row>
    <row r="928" ht="15.75" customHeight="1">
      <c r="C928" s="20"/>
      <c r="D928" s="20"/>
      <c r="E928" s="20"/>
      <c r="F928" s="21"/>
      <c r="G928" s="21"/>
    </row>
    <row r="929" ht="15.75" customHeight="1">
      <c r="C929" s="20"/>
      <c r="D929" s="20"/>
      <c r="E929" s="20"/>
      <c r="F929" s="21"/>
      <c r="G929" s="21"/>
    </row>
    <row r="930" ht="15.75" customHeight="1">
      <c r="C930" s="20"/>
      <c r="D930" s="20"/>
      <c r="E930" s="20"/>
      <c r="F930" s="21"/>
      <c r="G930" s="21"/>
    </row>
    <row r="931" ht="15.75" customHeight="1">
      <c r="C931" s="20"/>
      <c r="D931" s="20"/>
      <c r="E931" s="20"/>
      <c r="F931" s="21"/>
      <c r="G931" s="21"/>
    </row>
    <row r="932" ht="15.75" customHeight="1">
      <c r="C932" s="20"/>
      <c r="D932" s="20"/>
      <c r="E932" s="20"/>
      <c r="F932" s="21"/>
      <c r="G932" s="21"/>
    </row>
    <row r="933" ht="15.75" customHeight="1">
      <c r="C933" s="20"/>
      <c r="D933" s="20"/>
      <c r="E933" s="20"/>
      <c r="F933" s="21"/>
      <c r="G933" s="21"/>
    </row>
    <row r="934" ht="15.75" customHeight="1">
      <c r="C934" s="20"/>
      <c r="D934" s="20"/>
      <c r="E934" s="20"/>
      <c r="F934" s="21"/>
      <c r="G934" s="21"/>
    </row>
    <row r="935" ht="15.75" customHeight="1">
      <c r="C935" s="20"/>
      <c r="D935" s="20"/>
      <c r="E935" s="20"/>
      <c r="F935" s="21"/>
      <c r="G935" s="21"/>
    </row>
    <row r="936" ht="15.75" customHeight="1">
      <c r="C936" s="20"/>
      <c r="D936" s="20"/>
      <c r="E936" s="20"/>
      <c r="F936" s="21"/>
      <c r="G936" s="21"/>
    </row>
    <row r="937" ht="15.75" customHeight="1">
      <c r="C937" s="20"/>
      <c r="D937" s="20"/>
      <c r="E937" s="20"/>
      <c r="F937" s="21"/>
      <c r="G937" s="21"/>
    </row>
    <row r="938" ht="15.75" customHeight="1">
      <c r="C938" s="20"/>
      <c r="D938" s="20"/>
      <c r="E938" s="20"/>
      <c r="F938" s="21"/>
      <c r="G938" s="21"/>
    </row>
    <row r="939" ht="15.75" customHeight="1">
      <c r="C939" s="20"/>
      <c r="D939" s="20"/>
      <c r="E939" s="20"/>
      <c r="F939" s="21"/>
      <c r="G939" s="21"/>
    </row>
    <row r="940" ht="15.75" customHeight="1">
      <c r="C940" s="20"/>
      <c r="D940" s="20"/>
      <c r="E940" s="20"/>
      <c r="F940" s="21"/>
      <c r="G940" s="21"/>
    </row>
    <row r="941" ht="15.75" customHeight="1">
      <c r="C941" s="20"/>
      <c r="D941" s="20"/>
      <c r="E941" s="20"/>
      <c r="F941" s="21"/>
      <c r="G941" s="21"/>
    </row>
    <row r="942" ht="15.75" customHeight="1">
      <c r="C942" s="20"/>
      <c r="D942" s="20"/>
      <c r="E942" s="20"/>
      <c r="F942" s="21"/>
      <c r="G942" s="21"/>
    </row>
    <row r="943" ht="15.75" customHeight="1">
      <c r="C943" s="20"/>
      <c r="D943" s="20"/>
      <c r="E943" s="20"/>
      <c r="F943" s="21"/>
      <c r="G943" s="21"/>
    </row>
    <row r="944" ht="15.75" customHeight="1">
      <c r="C944" s="20"/>
      <c r="D944" s="20"/>
      <c r="E944" s="20"/>
      <c r="F944" s="21"/>
      <c r="G944" s="21"/>
    </row>
    <row r="945" ht="15.75" customHeight="1">
      <c r="C945" s="20"/>
      <c r="D945" s="20"/>
      <c r="E945" s="20"/>
      <c r="F945" s="21"/>
      <c r="G945" s="21"/>
    </row>
    <row r="946" ht="15.75" customHeight="1">
      <c r="C946" s="20"/>
      <c r="D946" s="20"/>
      <c r="E946" s="20"/>
      <c r="F946" s="21"/>
      <c r="G946" s="21"/>
    </row>
    <row r="947" ht="15.75" customHeight="1">
      <c r="C947" s="20"/>
      <c r="D947" s="20"/>
      <c r="E947" s="20"/>
      <c r="F947" s="21"/>
      <c r="G947" s="21"/>
    </row>
    <row r="948" ht="15.75" customHeight="1">
      <c r="C948" s="20"/>
      <c r="D948" s="20"/>
      <c r="E948" s="20"/>
      <c r="F948" s="21"/>
      <c r="G948" s="21"/>
    </row>
    <row r="949" ht="15.75" customHeight="1">
      <c r="C949" s="20"/>
      <c r="D949" s="20"/>
      <c r="E949" s="20"/>
      <c r="F949" s="21"/>
      <c r="G949" s="21"/>
    </row>
    <row r="950" ht="15.75" customHeight="1">
      <c r="C950" s="20"/>
      <c r="D950" s="20"/>
      <c r="E950" s="20"/>
      <c r="F950" s="21"/>
      <c r="G950" s="21"/>
    </row>
    <row r="951" ht="15.75" customHeight="1">
      <c r="C951" s="20"/>
      <c r="D951" s="20"/>
      <c r="E951" s="20"/>
      <c r="F951" s="21"/>
      <c r="G951" s="21"/>
    </row>
    <row r="952" ht="15.75" customHeight="1">
      <c r="C952" s="20"/>
      <c r="D952" s="20"/>
      <c r="E952" s="20"/>
      <c r="F952" s="21"/>
      <c r="G952" s="21"/>
    </row>
    <row r="953" ht="15.75" customHeight="1">
      <c r="C953" s="20"/>
      <c r="D953" s="20"/>
      <c r="E953" s="20"/>
      <c r="F953" s="21"/>
      <c r="G953" s="21"/>
    </row>
    <row r="954" ht="15.75" customHeight="1">
      <c r="C954" s="20"/>
      <c r="D954" s="20"/>
      <c r="E954" s="20"/>
      <c r="F954" s="21"/>
      <c r="G954" s="21"/>
    </row>
    <row r="955" ht="15.75" customHeight="1">
      <c r="C955" s="20"/>
      <c r="D955" s="20"/>
      <c r="E955" s="20"/>
      <c r="F955" s="21"/>
      <c r="G955" s="21"/>
    </row>
    <row r="956" ht="15.75" customHeight="1">
      <c r="C956" s="20"/>
      <c r="D956" s="20"/>
      <c r="E956" s="20"/>
      <c r="F956" s="21"/>
      <c r="G956" s="21"/>
    </row>
    <row r="957" ht="15.75" customHeight="1">
      <c r="C957" s="20"/>
      <c r="D957" s="20"/>
      <c r="E957" s="20"/>
      <c r="F957" s="21"/>
      <c r="G957" s="21"/>
    </row>
    <row r="958" ht="15.75" customHeight="1">
      <c r="C958" s="20"/>
      <c r="D958" s="20"/>
      <c r="E958" s="20"/>
      <c r="F958" s="21"/>
      <c r="G958" s="21"/>
    </row>
    <row r="959" ht="15.75" customHeight="1">
      <c r="C959" s="20"/>
      <c r="D959" s="20"/>
      <c r="E959" s="20"/>
      <c r="F959" s="21"/>
      <c r="G959" s="21"/>
    </row>
    <row r="960" ht="15.75" customHeight="1">
      <c r="C960" s="20"/>
      <c r="D960" s="20"/>
      <c r="E960" s="20"/>
      <c r="F960" s="21"/>
      <c r="G960" s="21"/>
    </row>
    <row r="961" ht="15.75" customHeight="1">
      <c r="C961" s="20"/>
      <c r="D961" s="20"/>
      <c r="E961" s="20"/>
      <c r="F961" s="21"/>
      <c r="G961" s="21"/>
    </row>
    <row r="962" ht="15.75" customHeight="1">
      <c r="C962" s="20"/>
      <c r="D962" s="20"/>
      <c r="E962" s="20"/>
      <c r="F962" s="21"/>
      <c r="G962" s="21"/>
    </row>
    <row r="963" ht="15.75" customHeight="1">
      <c r="C963" s="20"/>
      <c r="D963" s="20"/>
      <c r="E963" s="20"/>
      <c r="F963" s="21"/>
      <c r="G963" s="21"/>
    </row>
    <row r="964" ht="15.75" customHeight="1">
      <c r="C964" s="20"/>
      <c r="D964" s="20"/>
      <c r="E964" s="20"/>
      <c r="F964" s="21"/>
      <c r="G964" s="21"/>
    </row>
    <row r="965" ht="15.75" customHeight="1">
      <c r="C965" s="20"/>
      <c r="D965" s="20"/>
      <c r="E965" s="20"/>
      <c r="F965" s="21"/>
      <c r="G965" s="21"/>
    </row>
    <row r="966" ht="15.75" customHeight="1">
      <c r="C966" s="20"/>
      <c r="D966" s="20"/>
      <c r="E966" s="20"/>
      <c r="F966" s="21"/>
      <c r="G966" s="21"/>
    </row>
    <row r="967" ht="15.75" customHeight="1">
      <c r="C967" s="20"/>
      <c r="D967" s="20"/>
      <c r="E967" s="20"/>
      <c r="F967" s="21"/>
      <c r="G967" s="21"/>
    </row>
    <row r="968" ht="15.75" customHeight="1">
      <c r="C968" s="20"/>
      <c r="D968" s="20"/>
      <c r="E968" s="20"/>
      <c r="F968" s="21"/>
      <c r="G968" s="21"/>
    </row>
    <row r="969" ht="15.75" customHeight="1">
      <c r="C969" s="20"/>
      <c r="D969" s="20"/>
      <c r="E969" s="20"/>
      <c r="F969" s="21"/>
      <c r="G969" s="21"/>
    </row>
    <row r="970" ht="15.75" customHeight="1">
      <c r="C970" s="20"/>
      <c r="D970" s="20"/>
      <c r="E970" s="20"/>
      <c r="F970" s="21"/>
      <c r="G970" s="21"/>
    </row>
    <row r="971" ht="15.75" customHeight="1">
      <c r="C971" s="20"/>
      <c r="D971" s="20"/>
      <c r="E971" s="20"/>
      <c r="F971" s="21"/>
      <c r="G971" s="21"/>
    </row>
    <row r="972" ht="15.75" customHeight="1">
      <c r="C972" s="20"/>
      <c r="D972" s="20"/>
      <c r="E972" s="20"/>
      <c r="F972" s="21"/>
      <c r="G972" s="21"/>
    </row>
    <row r="973" ht="15.75" customHeight="1">
      <c r="C973" s="20"/>
      <c r="D973" s="20"/>
      <c r="E973" s="20"/>
      <c r="F973" s="21"/>
      <c r="G973" s="21"/>
    </row>
    <row r="974" ht="15.75" customHeight="1">
      <c r="C974" s="20"/>
      <c r="D974" s="20"/>
      <c r="E974" s="20"/>
      <c r="F974" s="21"/>
      <c r="G974" s="21"/>
    </row>
    <row r="975" ht="15.75" customHeight="1">
      <c r="C975" s="20"/>
      <c r="D975" s="20"/>
      <c r="E975" s="20"/>
      <c r="F975" s="21"/>
      <c r="G975" s="21"/>
    </row>
    <row r="976" ht="15.75" customHeight="1">
      <c r="C976" s="20"/>
      <c r="D976" s="20"/>
      <c r="E976" s="20"/>
      <c r="F976" s="21"/>
      <c r="G976" s="21"/>
    </row>
    <row r="977" ht="15.75" customHeight="1">
      <c r="C977" s="20"/>
      <c r="D977" s="20"/>
      <c r="E977" s="20"/>
      <c r="F977" s="21"/>
      <c r="G977" s="21"/>
    </row>
    <row r="978" ht="15.75" customHeight="1">
      <c r="C978" s="20"/>
      <c r="D978" s="20"/>
      <c r="E978" s="20"/>
      <c r="F978" s="21"/>
      <c r="G978" s="21"/>
    </row>
    <row r="979" ht="15.75" customHeight="1">
      <c r="C979" s="20"/>
      <c r="D979" s="20"/>
      <c r="E979" s="20"/>
      <c r="F979" s="21"/>
      <c r="G979" s="21"/>
    </row>
    <row r="980" ht="15.75" customHeight="1">
      <c r="C980" s="20"/>
      <c r="D980" s="20"/>
      <c r="E980" s="20"/>
      <c r="F980" s="21"/>
      <c r="G980" s="21"/>
    </row>
    <row r="981" ht="15.75" customHeight="1">
      <c r="C981" s="20"/>
      <c r="D981" s="20"/>
      <c r="E981" s="20"/>
      <c r="F981" s="21"/>
      <c r="G981" s="21"/>
    </row>
    <row r="982" ht="15.75" customHeight="1">
      <c r="C982" s="20"/>
      <c r="D982" s="20"/>
      <c r="E982" s="20"/>
      <c r="F982" s="21"/>
      <c r="G982" s="21"/>
    </row>
    <row r="983" ht="15.75" customHeight="1">
      <c r="C983" s="20"/>
      <c r="D983" s="20"/>
      <c r="E983" s="20"/>
      <c r="F983" s="21"/>
      <c r="G983" s="21"/>
    </row>
    <row r="984" ht="15.75" customHeight="1">
      <c r="C984" s="20"/>
      <c r="D984" s="20"/>
      <c r="E984" s="20"/>
      <c r="F984" s="21"/>
      <c r="G984" s="21"/>
    </row>
    <row r="985" ht="15.75" customHeight="1">
      <c r="C985" s="20"/>
      <c r="D985" s="20"/>
      <c r="E985" s="20"/>
      <c r="F985" s="21"/>
      <c r="G985" s="21"/>
    </row>
    <row r="986" ht="15.75" customHeight="1">
      <c r="C986" s="20"/>
      <c r="D986" s="20"/>
      <c r="E986" s="20"/>
      <c r="F986" s="21"/>
      <c r="G986" s="21"/>
    </row>
    <row r="987" ht="15.75" customHeight="1">
      <c r="C987" s="20"/>
      <c r="D987" s="20"/>
      <c r="E987" s="20"/>
      <c r="F987" s="21"/>
      <c r="G987" s="21"/>
    </row>
    <row r="988" ht="15.75" customHeight="1">
      <c r="C988" s="20"/>
      <c r="D988" s="20"/>
      <c r="E988" s="20"/>
      <c r="F988" s="21"/>
      <c r="G988" s="21"/>
    </row>
    <row r="989" ht="15.75" customHeight="1">
      <c r="C989" s="20"/>
      <c r="D989" s="20"/>
      <c r="E989" s="20"/>
      <c r="F989" s="21"/>
      <c r="G989" s="21"/>
    </row>
    <row r="990" ht="15.75" customHeight="1">
      <c r="C990" s="20"/>
      <c r="D990" s="20"/>
      <c r="E990" s="20"/>
      <c r="F990" s="21"/>
      <c r="G990" s="21"/>
    </row>
    <row r="991" ht="15.75" customHeight="1">
      <c r="C991" s="20"/>
      <c r="D991" s="20"/>
      <c r="E991" s="20"/>
      <c r="F991" s="21"/>
      <c r="G991" s="21"/>
    </row>
    <row r="992" ht="15.75" customHeight="1">
      <c r="C992" s="20"/>
      <c r="D992" s="20"/>
      <c r="E992" s="20"/>
      <c r="F992" s="21"/>
      <c r="G992" s="21"/>
    </row>
    <row r="993" ht="15.75" customHeight="1">
      <c r="C993" s="20"/>
      <c r="D993" s="20"/>
      <c r="E993" s="20"/>
      <c r="F993" s="21"/>
      <c r="G993" s="21"/>
    </row>
    <row r="994" ht="15.75" customHeight="1">
      <c r="C994" s="20"/>
      <c r="D994" s="20"/>
      <c r="E994" s="20"/>
      <c r="F994" s="21"/>
      <c r="G994" s="21"/>
    </row>
    <row r="995" ht="15.75" customHeight="1">
      <c r="C995" s="20"/>
      <c r="D995" s="20"/>
      <c r="E995" s="20"/>
      <c r="F995" s="21"/>
      <c r="G995" s="21"/>
    </row>
    <row r="996" ht="15.75" customHeight="1">
      <c r="C996" s="20"/>
      <c r="D996" s="20"/>
      <c r="E996" s="20"/>
      <c r="F996" s="21"/>
      <c r="G996" s="21"/>
    </row>
    <row r="997" ht="15.75" customHeight="1">
      <c r="C997" s="20"/>
      <c r="D997" s="20"/>
      <c r="E997" s="20"/>
      <c r="F997" s="21"/>
      <c r="G997" s="21"/>
    </row>
    <row r="998" ht="15.75" customHeight="1">
      <c r="C998" s="20"/>
      <c r="D998" s="20"/>
      <c r="E998" s="20"/>
      <c r="F998" s="21"/>
      <c r="G998" s="21"/>
    </row>
    <row r="999" ht="15.75" customHeight="1">
      <c r="C999" s="20"/>
      <c r="D999" s="20"/>
      <c r="E999" s="20"/>
      <c r="F999" s="21"/>
      <c r="G999" s="21"/>
    </row>
    <row r="1000" ht="15.75" customHeight="1">
      <c r="C1000" s="20"/>
      <c r="D1000" s="20"/>
      <c r="E1000" s="20"/>
      <c r="F1000" s="21"/>
      <c r="G1000" s="21"/>
    </row>
  </sheetData>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2014-03-27T15:29:57Z</dcterms:created>
  <dc:creator>Jeremy Howard</dc:creator>
</cp:coreProperties>
</file>